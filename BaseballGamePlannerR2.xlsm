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08" codeName="{6BE1CDB9-6C1C-A5B6-3FC1-E231EC3C600E}"/>
  <workbookPr codeName="ThisWorkbook"/>
  <mc:AlternateContent xmlns:mc="http://schemas.openxmlformats.org/markup-compatibility/2006">
    <mc:Choice Requires="x15">
      <x15ac:absPath xmlns:x15ac="http://schemas.microsoft.com/office/spreadsheetml/2010/11/ac" url="/Users/jb04024/Documents/"/>
    </mc:Choice>
  </mc:AlternateContent>
  <xr:revisionPtr revIDLastSave="0" documentId="8_{52E64E12-94EC-AC40-8DC9-EE2483951EE8}" xr6:coauthVersionLast="47" xr6:coauthVersionMax="47" xr10:uidLastSave="{00000000-0000-0000-0000-000000000000}"/>
  <bookViews>
    <workbookView xWindow="1560" yWindow="1160" windowWidth="27860" windowHeight="15000" activeTab="1" xr2:uid="{00000000-000D-0000-FFFF-FFFF00000000}"/>
  </bookViews>
  <sheets>
    <sheet name="Gameplan" sheetId="1" r:id="rId1"/>
    <sheet name="Lineup Cards" sheetId="2" r:id="rId2"/>
    <sheet name="Roster" sheetId="3" state="hidden" r:id="rId3"/>
  </sheets>
  <functionGroups builtInGroupCount="19"/>
  <definedNames>
    <definedName name="I1_1B">Gameplan!$O$13</definedName>
    <definedName name="I1_2B">Gameplan!$O$11</definedName>
    <definedName name="I1_3B">Gameplan!$M$13</definedName>
    <definedName name="I1_C">Gameplan!$N$18</definedName>
    <definedName name="I1_CF">Gameplan!$N$7</definedName>
    <definedName name="I1_D1" comment="Dugout">Gameplan!$L$16</definedName>
    <definedName name="I1_D2" comment="Dugout">Gameplan!$L$17</definedName>
    <definedName name="I1_D3" comment="Dugout">Gameplan!$L$18</definedName>
    <definedName name="I1_D4">Gameplan!$P$16</definedName>
    <definedName name="I1_D5">Gameplan!$P$17</definedName>
    <definedName name="I1_D6">Gameplan!$P$18</definedName>
    <definedName name="I1_LF">Gameplan!$L$9</definedName>
    <definedName name="I1_P">Gameplan!$N$14</definedName>
    <definedName name="I1_RF">Gameplan!$P$9</definedName>
    <definedName name="I1_SS">Gameplan!$M$11</definedName>
    <definedName name="I2_1B">Gameplan!$U$13</definedName>
    <definedName name="I2_2B">Gameplan!$U$11</definedName>
    <definedName name="I2_3B">Gameplan!$S$13</definedName>
    <definedName name="I2_C">Gameplan!$T$18</definedName>
    <definedName name="I2_CF">Gameplan!$T$7</definedName>
    <definedName name="I2_D1">Gameplan!$R$16</definedName>
    <definedName name="I2_D2">Gameplan!$R$17</definedName>
    <definedName name="I2_D3">Gameplan!$R$18</definedName>
    <definedName name="I2_D4">Gameplan!$V$16</definedName>
    <definedName name="I2_D5">Gameplan!$V$17</definedName>
    <definedName name="I2_D6">Gameplan!$V$18</definedName>
    <definedName name="I2_LF">Gameplan!$R$9</definedName>
    <definedName name="I2_P">Gameplan!$T$14</definedName>
    <definedName name="I2_RF">Gameplan!$V$9</definedName>
    <definedName name="I2_SS">Gameplan!$S$11</definedName>
    <definedName name="I3_1B">Gameplan!$AA$13</definedName>
    <definedName name="I3_2B">Gameplan!$AA$11</definedName>
    <definedName name="I3_3B">Gameplan!$Y$13</definedName>
    <definedName name="I3_C">Gameplan!$Z$18</definedName>
    <definedName name="I3_CF">Gameplan!$Z$7</definedName>
    <definedName name="I3_D1">Gameplan!$X$16</definedName>
    <definedName name="I3_D2">Gameplan!$X$17</definedName>
    <definedName name="I3_D3">Gameplan!$X$18</definedName>
    <definedName name="I3_D4">Gameplan!$AB$16</definedName>
    <definedName name="I3_D5">Gameplan!$AB$17</definedName>
    <definedName name="I3_D6">Gameplan!$AB$18</definedName>
    <definedName name="I3_LF">Gameplan!$X$9</definedName>
    <definedName name="I3_P">Gameplan!$Z$14</definedName>
    <definedName name="I3_RF">Gameplan!$AB$9</definedName>
    <definedName name="I3_SS">Gameplan!$Y$11</definedName>
    <definedName name="I4_1B">Gameplan!$AG$13</definedName>
    <definedName name="I4_2B">Gameplan!$AG$11</definedName>
    <definedName name="I4_3B">Gameplan!$AE$13</definedName>
    <definedName name="I4_C">Gameplan!$AF$18</definedName>
    <definedName name="I4_CF">Gameplan!$AF$7</definedName>
    <definedName name="I4_D1">Gameplan!$AD$16</definedName>
    <definedName name="I4_D2">Gameplan!$AD$17</definedName>
    <definedName name="I4_D3">Gameplan!$AD$18</definedName>
    <definedName name="I4_D4">Gameplan!$AH$16</definedName>
    <definedName name="I4_D5">Gameplan!$AH$17</definedName>
    <definedName name="I4_D6">Gameplan!$AH$18</definedName>
    <definedName name="I4_LF">Gameplan!$AD$9</definedName>
    <definedName name="I4_P">Gameplan!$AF$14</definedName>
    <definedName name="I4_RF">Gameplan!$AH$9</definedName>
    <definedName name="I4_SS">Gameplan!$AE$11</definedName>
    <definedName name="I5_1B">Gameplan!$AM$13</definedName>
    <definedName name="I5_2B">Gameplan!$AM$11</definedName>
    <definedName name="I5_3B">Gameplan!$AK$13</definedName>
    <definedName name="I5_C">Gameplan!$AL$18</definedName>
    <definedName name="I5_CF">Gameplan!$AL$7</definedName>
    <definedName name="I5_D1">Gameplan!$AJ$16</definedName>
    <definedName name="I5_D2">Gameplan!$AJ$17</definedName>
    <definedName name="I5_D3">Gameplan!$AJ$18</definedName>
    <definedName name="I5_D4">Gameplan!$AN$16</definedName>
    <definedName name="I5_D5">Gameplan!$AN$17</definedName>
    <definedName name="I5_D6">Gameplan!$AN$18</definedName>
    <definedName name="I5_LF">Gameplan!$AJ$9</definedName>
    <definedName name="I5_P">Gameplan!$AL$14</definedName>
    <definedName name="I5_RF">Gameplan!$AN$9</definedName>
    <definedName name="I5_SS">Gameplan!$AK$11</definedName>
    <definedName name="I6_1B">Gameplan!$AS$13</definedName>
    <definedName name="I6_2B">Gameplan!$AS$11</definedName>
    <definedName name="I6_3B">Gameplan!$AQ$13</definedName>
    <definedName name="I6_C">Gameplan!$AR$18</definedName>
    <definedName name="I6_CF">Gameplan!$AR$7</definedName>
    <definedName name="I6_D1">Gameplan!$AP$16</definedName>
    <definedName name="I6_D2">Gameplan!$AP$17</definedName>
    <definedName name="I6_D3">Gameplan!$AP$18</definedName>
    <definedName name="I6_D4">Gameplan!$AT$16</definedName>
    <definedName name="I6_D5">Gameplan!$AT$17</definedName>
    <definedName name="I6_D6">Gameplan!$AT$18</definedName>
    <definedName name="I6_LF">Gameplan!$AP$9</definedName>
    <definedName name="I6_P">Gameplan!$AR$14</definedName>
    <definedName name="I6_RF">Gameplan!$AT$9</definedName>
    <definedName name="I6_SS">Gameplan!$AQ$11</definedName>
    <definedName name="I7_1B">Gameplan!$AY$13</definedName>
    <definedName name="I7_2B">Gameplan!$AY$11</definedName>
    <definedName name="I7_3B">Gameplan!$AW$13</definedName>
    <definedName name="I7_C">Gameplan!$AX$18</definedName>
    <definedName name="I7_CF">Gameplan!$AX$7</definedName>
    <definedName name="I7_D1">Gameplan!$AV$16</definedName>
    <definedName name="I7_D2">Gameplan!$AV$17</definedName>
    <definedName name="I7_D3">Gameplan!$AV$18</definedName>
    <definedName name="I7_D4">Gameplan!$AZ$16</definedName>
    <definedName name="I7_D5">Gameplan!$AZ$17</definedName>
    <definedName name="I7_D6">Gameplan!$AZ$18</definedName>
    <definedName name="I7_LF">Gameplan!$AV$9</definedName>
    <definedName name="I7_P">Gameplan!$AX$14</definedName>
    <definedName name="I7_RF">Gameplan!$AZ$9</definedName>
    <definedName name="I7_SS">Gameplan!$AW$11</definedName>
    <definedName name="Yadier_Molina">Gameplan!$AB$9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1" l="1"/>
  <c r="B18" i="1"/>
  <c r="M32" i="2" l="1"/>
  <c r="M30" i="2"/>
  <c r="M28" i="2"/>
  <c r="M26" i="2"/>
  <c r="M24" i="2"/>
  <c r="M22" i="2"/>
  <c r="M20" i="2"/>
  <c r="M18" i="2"/>
  <c r="M16" i="2"/>
  <c r="M14" i="2"/>
  <c r="M12" i="2"/>
  <c r="M10" i="2"/>
  <c r="M8" i="2"/>
  <c r="M6" i="2"/>
  <c r="M4" i="2"/>
  <c r="B65" i="2"/>
  <c r="B63" i="2"/>
  <c r="B61" i="2"/>
  <c r="B59" i="2"/>
  <c r="B57" i="2"/>
  <c r="B55" i="2"/>
  <c r="B53" i="2"/>
  <c r="B51" i="2"/>
  <c r="B49" i="2"/>
  <c r="B47" i="2"/>
  <c r="B45" i="2"/>
  <c r="B43" i="2"/>
  <c r="B41" i="2"/>
  <c r="B39" i="2"/>
  <c r="B37" i="2"/>
  <c r="M53" i="2"/>
  <c r="M52" i="2"/>
  <c r="M51" i="2"/>
  <c r="M50" i="2"/>
  <c r="M49" i="2"/>
  <c r="M48" i="2"/>
  <c r="M47" i="2"/>
  <c r="M46" i="2"/>
  <c r="M45" i="2"/>
  <c r="M44" i="2"/>
  <c r="M43" i="2"/>
  <c r="M42" i="2"/>
  <c r="M41" i="2"/>
  <c r="M40" i="2"/>
  <c r="M39" i="2"/>
  <c r="B32" i="2"/>
  <c r="B30" i="2"/>
  <c r="B28" i="2"/>
  <c r="B26" i="2"/>
  <c r="B24" i="2"/>
  <c r="B22" i="2"/>
  <c r="B20" i="2"/>
  <c r="B18" i="2"/>
  <c r="B16" i="2"/>
  <c r="B14" i="2"/>
  <c r="B12" i="2"/>
  <c r="B10" i="2"/>
  <c r="B8" i="2"/>
  <c r="B4" i="2"/>
  <c r="B6" i="2"/>
  <c r="B5" i="1" l="1"/>
  <c r="L4" i="2" l="1"/>
  <c r="L39" i="2"/>
  <c r="A37" i="2"/>
  <c r="A4" i="2"/>
  <c r="AV39" i="1"/>
  <c r="AV38" i="1"/>
  <c r="AV37" i="1"/>
  <c r="AV36" i="1"/>
  <c r="AV35" i="1"/>
  <c r="AV34" i="1"/>
  <c r="AV33" i="1"/>
  <c r="AV32" i="1"/>
  <c r="AV31" i="1"/>
  <c r="AV30" i="1"/>
  <c r="AV29" i="1"/>
  <c r="AV28" i="1"/>
  <c r="AV27" i="1"/>
  <c r="AV26" i="1"/>
  <c r="AV25" i="1"/>
  <c r="AP39" i="1"/>
  <c r="AP38" i="1"/>
  <c r="AP37" i="1"/>
  <c r="AP36" i="1"/>
  <c r="AP35" i="1"/>
  <c r="AP34" i="1"/>
  <c r="AP33" i="1"/>
  <c r="AP32" i="1"/>
  <c r="AP31" i="1"/>
  <c r="AP30" i="1"/>
  <c r="AP29" i="1"/>
  <c r="AP28" i="1"/>
  <c r="AP27" i="1"/>
  <c r="AP26" i="1"/>
  <c r="AP25" i="1"/>
  <c r="AJ39" i="1"/>
  <c r="AJ38" i="1"/>
  <c r="AJ37" i="1"/>
  <c r="AJ36" i="1"/>
  <c r="AJ35" i="1"/>
  <c r="AJ34" i="1"/>
  <c r="AJ33" i="1"/>
  <c r="AJ32" i="1"/>
  <c r="AJ31" i="1"/>
  <c r="AJ30" i="1"/>
  <c r="AJ29" i="1"/>
  <c r="AJ28" i="1"/>
  <c r="AJ27" i="1"/>
  <c r="AJ26" i="1"/>
  <c r="AJ25" i="1"/>
  <c r="AD39" i="1"/>
  <c r="AD38" i="1"/>
  <c r="AD37" i="1"/>
  <c r="AD36" i="1"/>
  <c r="AD35" i="1"/>
  <c r="AD34" i="1"/>
  <c r="AD33" i="1"/>
  <c r="AD32" i="1"/>
  <c r="AD31" i="1"/>
  <c r="AD29" i="1"/>
  <c r="AD30" i="1"/>
  <c r="AD28" i="1"/>
  <c r="AD27" i="1"/>
  <c r="AD26" i="1"/>
  <c r="AD25" i="1"/>
  <c r="J17" i="1" l="1"/>
  <c r="J5" i="1"/>
  <c r="J13" i="1"/>
  <c r="I19" i="1"/>
  <c r="I17" i="1"/>
  <c r="I15" i="1"/>
  <c r="I13" i="1"/>
  <c r="I11" i="1"/>
  <c r="I9" i="1"/>
  <c r="I7" i="1"/>
  <c r="I18" i="1"/>
  <c r="I16" i="1"/>
  <c r="I14" i="1"/>
  <c r="I12" i="1"/>
  <c r="I10" i="1"/>
  <c r="I8" i="1"/>
  <c r="I6" i="1"/>
  <c r="H19" i="1"/>
  <c r="H17" i="1"/>
  <c r="H15" i="1"/>
  <c r="H12" i="1"/>
  <c r="H10" i="1"/>
  <c r="H8" i="1"/>
  <c r="H6" i="1"/>
  <c r="H14" i="1"/>
  <c r="H18" i="1"/>
  <c r="H16" i="1"/>
  <c r="H13" i="1"/>
  <c r="H11" i="1"/>
  <c r="H9" i="1"/>
  <c r="H7" i="1"/>
  <c r="H5" i="1"/>
  <c r="G5" i="1"/>
  <c r="G15" i="1"/>
  <c r="G19" i="1"/>
  <c r="G14" i="1"/>
  <c r="G7" i="1"/>
  <c r="J18" i="1"/>
  <c r="J16" i="1"/>
  <c r="J14" i="1"/>
  <c r="J12" i="1"/>
  <c r="J10" i="1"/>
  <c r="J8" i="1"/>
  <c r="J6" i="1"/>
  <c r="J19" i="1"/>
  <c r="J15" i="1"/>
  <c r="J11" i="1"/>
  <c r="J9" i="1"/>
  <c r="J7" i="1"/>
  <c r="I5" i="1"/>
  <c r="G18" i="1"/>
  <c r="G16" i="1"/>
  <c r="G12" i="1"/>
  <c r="G10" i="1"/>
  <c r="G8" i="1"/>
  <c r="G17" i="1"/>
  <c r="G13" i="1"/>
  <c r="G11" i="1"/>
  <c r="G9" i="1"/>
  <c r="G6" i="1"/>
  <c r="X33" i="1"/>
  <c r="X39" i="1"/>
  <c r="X38" i="1"/>
  <c r="X37" i="1"/>
  <c r="X36" i="1"/>
  <c r="X35" i="1"/>
  <c r="X34" i="1"/>
  <c r="X32" i="1"/>
  <c r="X31" i="1"/>
  <c r="X30" i="1"/>
  <c r="X29" i="1"/>
  <c r="X28" i="1"/>
  <c r="X27" i="1"/>
  <c r="X26" i="1"/>
  <c r="X25" i="1"/>
  <c r="R39" i="1"/>
  <c r="R38" i="1"/>
  <c r="R37" i="1"/>
  <c r="R36" i="1"/>
  <c r="R35" i="1"/>
  <c r="L39" i="1"/>
  <c r="L38" i="1"/>
  <c r="L37" i="1"/>
  <c r="L36" i="1"/>
  <c r="L35" i="1"/>
  <c r="R34" i="1"/>
  <c r="R33" i="1"/>
  <c r="R32" i="1"/>
  <c r="R31" i="1"/>
  <c r="R30" i="1"/>
  <c r="R29" i="1"/>
  <c r="R28" i="1"/>
  <c r="R27" i="1"/>
  <c r="R26" i="1"/>
  <c r="R25" i="1"/>
  <c r="L34" i="1"/>
  <c r="L33" i="1"/>
  <c r="L32" i="1"/>
  <c r="L31" i="1"/>
  <c r="L30" i="1"/>
  <c r="L29" i="1"/>
  <c r="L28" i="1"/>
  <c r="L27" i="1"/>
  <c r="L26" i="1"/>
  <c r="L25" i="1"/>
  <c r="F49" i="2" l="1"/>
  <c r="Q16" i="2"/>
  <c r="F16" i="2"/>
  <c r="H37" i="2"/>
  <c r="S4" i="2"/>
  <c r="H4" i="2"/>
  <c r="T14" i="2"/>
  <c r="I14" i="2"/>
  <c r="I47" i="2"/>
  <c r="F57" i="2"/>
  <c r="Q24" i="2"/>
  <c r="F24" i="2"/>
  <c r="G63" i="2"/>
  <c r="R30" i="2"/>
  <c r="G30" i="2"/>
  <c r="R32" i="2"/>
  <c r="G32" i="2"/>
  <c r="G65" i="2"/>
  <c r="H8" i="2"/>
  <c r="H41" i="2"/>
  <c r="S8" i="2"/>
  <c r="Q18" i="2"/>
  <c r="F18" i="2"/>
  <c r="F51" i="2"/>
  <c r="I65" i="2"/>
  <c r="T32" i="2"/>
  <c r="I32" i="2"/>
  <c r="F41" i="2"/>
  <c r="Q8" i="2"/>
  <c r="F8" i="2"/>
  <c r="R16" i="2"/>
  <c r="G16" i="2"/>
  <c r="G49" i="2"/>
  <c r="G51" i="2"/>
  <c r="R18" i="2"/>
  <c r="G18" i="2"/>
  <c r="S6" i="2"/>
  <c r="H6" i="2"/>
  <c r="H39" i="2"/>
  <c r="H45" i="2"/>
  <c r="S12" i="2"/>
  <c r="H12" i="2"/>
  <c r="H61" i="2"/>
  <c r="S28" i="2"/>
  <c r="H28" i="2"/>
  <c r="T28" i="2"/>
  <c r="I28" i="2"/>
  <c r="I61" i="2"/>
  <c r="F6" i="2"/>
  <c r="F39" i="2"/>
  <c r="Q6" i="2"/>
  <c r="F28" i="2"/>
  <c r="Q28" i="2"/>
  <c r="F61" i="2"/>
  <c r="Q26" i="2"/>
  <c r="F59" i="2"/>
  <c r="F26" i="2"/>
  <c r="T12" i="2"/>
  <c r="I12" i="2"/>
  <c r="I45" i="2"/>
  <c r="T6" i="2"/>
  <c r="I39" i="2"/>
  <c r="I6" i="2"/>
  <c r="T22" i="2"/>
  <c r="I22" i="2"/>
  <c r="I55" i="2"/>
  <c r="F22" i="2"/>
  <c r="F55" i="2"/>
  <c r="Q22" i="2"/>
  <c r="G37" i="2"/>
  <c r="R4" i="2"/>
  <c r="G4" i="2"/>
  <c r="G53" i="2"/>
  <c r="R20" i="2"/>
  <c r="G20" i="2"/>
  <c r="G39" i="2"/>
  <c r="R6" i="2"/>
  <c r="G6" i="2"/>
  <c r="R24" i="2"/>
  <c r="G24" i="2"/>
  <c r="G57" i="2"/>
  <c r="H10" i="2"/>
  <c r="H43" i="2"/>
  <c r="S10" i="2"/>
  <c r="H26" i="2"/>
  <c r="H59" i="2"/>
  <c r="S26" i="2"/>
  <c r="H16" i="2"/>
  <c r="H49" i="2"/>
  <c r="S16" i="2"/>
  <c r="H32" i="2"/>
  <c r="H65" i="2"/>
  <c r="S32" i="2"/>
  <c r="F14" i="2"/>
  <c r="F47" i="2"/>
  <c r="Q14" i="2"/>
  <c r="I57" i="2"/>
  <c r="T24" i="2"/>
  <c r="I24" i="2"/>
  <c r="T30" i="2"/>
  <c r="I30" i="2"/>
  <c r="I63" i="2"/>
  <c r="G45" i="2"/>
  <c r="R12" i="2"/>
  <c r="G12" i="2"/>
  <c r="G47" i="2"/>
  <c r="R14" i="2"/>
  <c r="G14" i="2"/>
  <c r="H18" i="2"/>
  <c r="H51" i="2"/>
  <c r="S18" i="2"/>
  <c r="H24" i="2"/>
  <c r="H57" i="2"/>
  <c r="S24" i="2"/>
  <c r="F20" i="2"/>
  <c r="Q20" i="2"/>
  <c r="F53" i="2"/>
  <c r="I41" i="2"/>
  <c r="I8" i="2"/>
  <c r="T8" i="2"/>
  <c r="I51" i="2"/>
  <c r="T18" i="2"/>
  <c r="I18" i="2"/>
  <c r="F4" i="2"/>
  <c r="F37" i="2"/>
  <c r="Q4" i="2"/>
  <c r="G55" i="2"/>
  <c r="R22" i="2"/>
  <c r="G22" i="2"/>
  <c r="S22" i="2"/>
  <c r="H22" i="2"/>
  <c r="H55" i="2"/>
  <c r="F12" i="2"/>
  <c r="F45" i="2"/>
  <c r="Q12" i="2"/>
  <c r="Q10" i="2"/>
  <c r="F43" i="2"/>
  <c r="F10" i="2"/>
  <c r="F30" i="2"/>
  <c r="F63" i="2"/>
  <c r="Q30" i="2"/>
  <c r="I49" i="2"/>
  <c r="T16" i="2"/>
  <c r="I16" i="2"/>
  <c r="I43" i="2"/>
  <c r="T10" i="2"/>
  <c r="I10" i="2"/>
  <c r="I59" i="2"/>
  <c r="T26" i="2"/>
  <c r="I26" i="2"/>
  <c r="F65" i="2"/>
  <c r="Q32" i="2"/>
  <c r="F32" i="2"/>
  <c r="R8" i="2"/>
  <c r="G8" i="2"/>
  <c r="G41" i="2"/>
  <c r="G26" i="2"/>
  <c r="R26" i="2"/>
  <c r="G59" i="2"/>
  <c r="G10" i="2"/>
  <c r="R10" i="2"/>
  <c r="G43" i="2"/>
  <c r="G61" i="2"/>
  <c r="R28" i="2"/>
  <c r="G28" i="2"/>
  <c r="S14" i="2"/>
  <c r="H47" i="2"/>
  <c r="H14" i="2"/>
  <c r="S30" i="2"/>
  <c r="H30" i="2"/>
  <c r="H63" i="2"/>
  <c r="H53" i="2"/>
  <c r="S20" i="2"/>
  <c r="H20" i="2"/>
  <c r="T20" i="2"/>
  <c r="I20" i="2"/>
  <c r="I53" i="2"/>
  <c r="T4" i="2"/>
  <c r="I4" i="2"/>
  <c r="I37" i="2"/>
  <c r="F5" i="1"/>
  <c r="F15" i="1"/>
  <c r="F13" i="1"/>
  <c r="F11" i="1"/>
  <c r="F9" i="1"/>
  <c r="F7" i="1"/>
  <c r="F14" i="1"/>
  <c r="F12" i="1"/>
  <c r="F10" i="1"/>
  <c r="F8" i="1"/>
  <c r="F6" i="1"/>
  <c r="E5" i="1"/>
  <c r="E16" i="1"/>
  <c r="D17" i="1"/>
  <c r="D15" i="1"/>
  <c r="D19" i="1"/>
  <c r="D18" i="1"/>
  <c r="E18" i="1"/>
  <c r="E19" i="1"/>
  <c r="E15" i="1"/>
  <c r="E17" i="1"/>
  <c r="D16" i="1"/>
  <c r="F18" i="1"/>
  <c r="F16" i="1"/>
  <c r="F19" i="1"/>
  <c r="F17" i="1"/>
  <c r="E13" i="1"/>
  <c r="D10" i="1"/>
  <c r="D14" i="1"/>
  <c r="D13" i="1"/>
  <c r="D11" i="1"/>
  <c r="D6" i="1"/>
  <c r="E6" i="1"/>
  <c r="E8" i="1"/>
  <c r="E10" i="1"/>
  <c r="E12" i="1"/>
  <c r="E14" i="1"/>
  <c r="E7" i="1"/>
  <c r="E9" i="1"/>
  <c r="E11" i="1"/>
  <c r="D5" i="1"/>
  <c r="D8" i="1"/>
  <c r="D12" i="1"/>
  <c r="D7" i="1"/>
  <c r="D9" i="1"/>
  <c r="N10" i="2" l="1"/>
  <c r="C10" i="2"/>
  <c r="C43" i="2"/>
  <c r="D43" i="2"/>
  <c r="D10" i="2"/>
  <c r="O10" i="2"/>
  <c r="N26" i="2"/>
  <c r="C26" i="2"/>
  <c r="C59" i="2"/>
  <c r="C61" i="2"/>
  <c r="C28" i="2"/>
  <c r="N28" i="2"/>
  <c r="E41" i="2"/>
  <c r="P8" i="2"/>
  <c r="E8" i="2"/>
  <c r="C45" i="2"/>
  <c r="C12" i="2"/>
  <c r="N12" i="2"/>
  <c r="C37" i="2"/>
  <c r="C4" i="2"/>
  <c r="N4" i="2"/>
  <c r="O22" i="2"/>
  <c r="D22" i="2"/>
  <c r="D55" i="2"/>
  <c r="C55" i="2"/>
  <c r="N22" i="2"/>
  <c r="C22" i="2"/>
  <c r="E65" i="2"/>
  <c r="P32" i="2"/>
  <c r="E32" i="2"/>
  <c r="D61" i="2"/>
  <c r="O28" i="2"/>
  <c r="D28" i="2"/>
  <c r="C63" i="2"/>
  <c r="N30" i="2"/>
  <c r="C30" i="2"/>
  <c r="D59" i="2"/>
  <c r="D26" i="2"/>
  <c r="O26" i="2"/>
  <c r="E47" i="2"/>
  <c r="P14" i="2"/>
  <c r="E14" i="2"/>
  <c r="P12" i="2"/>
  <c r="E45" i="2"/>
  <c r="E12" i="2"/>
  <c r="P4" i="2"/>
  <c r="E37" i="2"/>
  <c r="E4" i="2"/>
  <c r="N8" i="2"/>
  <c r="C41" i="2"/>
  <c r="C8" i="2"/>
  <c r="O16" i="2"/>
  <c r="D49" i="2"/>
  <c r="D16" i="2"/>
  <c r="D51" i="2"/>
  <c r="D18" i="2"/>
  <c r="O18" i="2"/>
  <c r="C39" i="2"/>
  <c r="N6" i="2"/>
  <c r="C6" i="2"/>
  <c r="C47" i="2"/>
  <c r="N14" i="2"/>
  <c r="C14" i="2"/>
  <c r="E59" i="2"/>
  <c r="P26" i="2"/>
  <c r="E26" i="2"/>
  <c r="O24" i="2"/>
  <c r="D57" i="2"/>
  <c r="D24" i="2"/>
  <c r="N32" i="2"/>
  <c r="C65" i="2"/>
  <c r="C32" i="2"/>
  <c r="D37" i="2"/>
  <c r="O4" i="2"/>
  <c r="D4" i="2"/>
  <c r="E51" i="2"/>
  <c r="P18" i="2"/>
  <c r="E18" i="2"/>
  <c r="E49" i="2"/>
  <c r="P16" i="2"/>
  <c r="E16" i="2"/>
  <c r="O8" i="2"/>
  <c r="D41" i="2"/>
  <c r="D8" i="2"/>
  <c r="C53" i="2"/>
  <c r="C20" i="2"/>
  <c r="N20" i="2"/>
  <c r="P28" i="2"/>
  <c r="E28" i="2"/>
  <c r="E61" i="2"/>
  <c r="O30" i="2"/>
  <c r="D30" i="2"/>
  <c r="D63" i="2"/>
  <c r="E43" i="2"/>
  <c r="P10" i="2"/>
  <c r="E10" i="2"/>
  <c r="E57" i="2"/>
  <c r="P24" i="2"/>
  <c r="E24" i="2"/>
  <c r="O6" i="2"/>
  <c r="D6" i="2"/>
  <c r="D39" i="2"/>
  <c r="N18" i="2"/>
  <c r="C18" i="2"/>
  <c r="C51" i="2"/>
  <c r="D45" i="2"/>
  <c r="O12" i="2"/>
  <c r="D12" i="2"/>
  <c r="O14" i="2"/>
  <c r="D14" i="2"/>
  <c r="D47" i="2"/>
  <c r="N16" i="2"/>
  <c r="C49" i="2"/>
  <c r="C16" i="2"/>
  <c r="D53" i="2"/>
  <c r="O20" i="2"/>
  <c r="D20" i="2"/>
  <c r="E63" i="2"/>
  <c r="P30" i="2"/>
  <c r="E30" i="2"/>
  <c r="O32" i="2"/>
  <c r="D65" i="2"/>
  <c r="D32" i="2"/>
  <c r="N24" i="2"/>
  <c r="C57" i="2"/>
  <c r="C24" i="2"/>
  <c r="E39" i="2"/>
  <c r="P6" i="2"/>
  <c r="E6" i="2"/>
  <c r="E55" i="2"/>
  <c r="E22" i="2"/>
  <c r="P22" i="2"/>
  <c r="P20" i="2"/>
  <c r="E20" i="2"/>
  <c r="E53" i="2"/>
  <c r="B17" i="1"/>
  <c r="B16" i="1"/>
  <c r="B15" i="1"/>
  <c r="B14" i="1"/>
  <c r="B13" i="1"/>
  <c r="B12" i="1"/>
  <c r="B11" i="1"/>
  <c r="B10" i="1"/>
  <c r="B9" i="1"/>
  <c r="B8" i="1"/>
  <c r="B7" i="1"/>
  <c r="B6" i="1"/>
  <c r="L12" i="2" l="1"/>
  <c r="L43" i="2"/>
  <c r="A45" i="2"/>
  <c r="A12" i="2"/>
  <c r="L28" i="2"/>
  <c r="L51" i="2"/>
  <c r="A61" i="2"/>
  <c r="A28" i="2"/>
  <c r="L14" i="2"/>
  <c r="A14" i="2"/>
  <c r="A47" i="2"/>
  <c r="L44" i="2"/>
  <c r="L30" i="2"/>
  <c r="A30" i="2"/>
  <c r="A63" i="2"/>
  <c r="L52" i="2"/>
  <c r="A41" i="2"/>
  <c r="L41" i="2"/>
  <c r="L8" i="2"/>
  <c r="A8" i="2"/>
  <c r="A49" i="2"/>
  <c r="L45" i="2"/>
  <c r="L16" i="2"/>
  <c r="A16" i="2"/>
  <c r="A57" i="2"/>
  <c r="L49" i="2"/>
  <c r="L24" i="2"/>
  <c r="A24" i="2"/>
  <c r="A65" i="2"/>
  <c r="L53" i="2"/>
  <c r="L32" i="2"/>
  <c r="A32" i="2"/>
  <c r="L20" i="2"/>
  <c r="L47" i="2"/>
  <c r="A53" i="2"/>
  <c r="A20" i="2"/>
  <c r="L6" i="2"/>
  <c r="A6" i="2"/>
  <c r="L40" i="2"/>
  <c r="A39" i="2"/>
  <c r="L22" i="2"/>
  <c r="A22" i="2"/>
  <c r="L48" i="2"/>
  <c r="A55" i="2"/>
  <c r="A43" i="2"/>
  <c r="L10" i="2"/>
  <c r="A10" i="2"/>
  <c r="L42" i="2"/>
  <c r="A51" i="2"/>
  <c r="L18" i="2"/>
  <c r="L46" i="2"/>
  <c r="A18" i="2"/>
  <c r="A59" i="2"/>
  <c r="L26" i="2"/>
  <c r="L50" i="2"/>
  <c r="A26" i="2"/>
</calcChain>
</file>

<file path=xl/sharedStrings.xml><?xml version="1.0" encoding="utf-8"?>
<sst xmlns="http://schemas.openxmlformats.org/spreadsheetml/2006/main" count="132" uniqueCount="26">
  <si>
    <t>Count</t>
  </si>
  <si>
    <t>Player Name</t>
  </si>
  <si>
    <t>#</t>
  </si>
  <si>
    <t>Inning 1</t>
  </si>
  <si>
    <t>Inning</t>
  </si>
  <si>
    <t>LF</t>
  </si>
  <si>
    <t>RF</t>
  </si>
  <si>
    <t>CF</t>
  </si>
  <si>
    <t>1B</t>
  </si>
  <si>
    <t>2B</t>
  </si>
  <si>
    <t>3B</t>
  </si>
  <si>
    <t>SS</t>
  </si>
  <si>
    <t>P</t>
  </si>
  <si>
    <t>C</t>
  </si>
  <si>
    <t>Batting Order</t>
  </si>
  <si>
    <t>Name</t>
  </si>
  <si>
    <t>Inning 2</t>
  </si>
  <si>
    <t>Inning 7</t>
  </si>
  <si>
    <t>Inning 6</t>
  </si>
  <si>
    <t>Inning 5</t>
  </si>
  <si>
    <t>Inning 4</t>
  </si>
  <si>
    <t>Inning 3</t>
  </si>
  <si>
    <t>Ted Williams</t>
  </si>
  <si>
    <t>Randy Johnson</t>
  </si>
  <si>
    <t>--</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</si>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</sst>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sz val="11"/>
      <color theme="0" tint="-0.34998626667073579"/>
      <name val="Calibri"/>
      <family val="2"/>
      <scheme val="minor"/>
    </font>
    <font>
      <b/>
      <sz val="11"/>
      <color theme="1"/>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s>
  <borders count="18">
    <border>
      <left/>
      <right/>
      <top/>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mediumDashed">
        <color theme="1" tint="0.499984740745262"/>
      </right>
      <top/>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s>
  <cellStyleXfs count="1">
    <xf numFmtId="0" fontId="0" fillId="0" borderId="0"/>
  </cellStyleXfs>
  <cellXfs count="38">
    <xf numFmtId="0" fontId="0" fillId="0" borderId="0" xfId="0"/>
    <xf numFmtId="0" fontId="2" fillId="0" borderId="0" xfId="0" applyFont="1" applyAlignment="1">
      <alignment horizontal="center"/>
    </xf>
    <xf numFmtId="0" fontId="2"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vertical="center"/>
    </xf>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9" xfId="0" applyBorder="1"/>
    <xf numFmtId="0" fontId="0" fillId="0" borderId="9" xfId="0" applyBorder="1" applyAlignment="1">
      <alignment horizontal="center"/>
    </xf>
    <xf numFmtId="0" fontId="2" fillId="0" borderId="9" xfId="0" applyFont="1" applyBorder="1" applyAlignment="1">
      <alignment horizontal="center"/>
    </xf>
    <xf numFmtId="0" fontId="0" fillId="0" borderId="10" xfId="0" applyBorder="1"/>
    <xf numFmtId="0" fontId="0" fillId="0" borderId="11" xfId="0" applyBorder="1"/>
    <xf numFmtId="0" fontId="0" fillId="0" borderId="12" xfId="0" applyBorder="1"/>
    <xf numFmtId="0" fontId="0" fillId="0" borderId="9" xfId="0" applyBorder="1" applyAlignment="1">
      <alignment horizontal="center" vertical="center"/>
    </xf>
    <xf numFmtId="0" fontId="3" fillId="0" borderId="0" xfId="0" applyFont="1"/>
    <xf numFmtId="0" fontId="0" fillId="0" borderId="7" xfId="0" applyBorder="1"/>
    <xf numFmtId="0" fontId="0" fillId="0" borderId="0" xfId="0" quotePrefix="1"/>
    <xf numFmtId="0" fontId="0" fillId="0" borderId="8" xfId="0" applyBorder="1"/>
    <xf numFmtId="0" fontId="0" fillId="0" borderId="9" xfId="0" applyFill="1" applyBorder="1" applyAlignment="1">
      <alignment horizontal="center" vertical="center"/>
    </xf>
    <xf numFmtId="0" fontId="0" fillId="0" borderId="13" xfId="0" applyBorder="1" applyAlignment="1">
      <alignment horizontal="center" vertical="center"/>
    </xf>
    <xf numFmtId="0" fontId="0" fillId="0" borderId="13" xfId="0" applyBorder="1"/>
    <xf numFmtId="0" fontId="0" fillId="2" borderId="13" xfId="0" applyFill="1" applyBorder="1" applyAlignment="1">
      <alignment horizontal="center"/>
    </xf>
    <xf numFmtId="0" fontId="0" fillId="0" borderId="14" xfId="0" applyBorder="1"/>
    <xf numFmtId="0" fontId="3" fillId="0" borderId="0" xfId="0" applyFont="1" applyAlignment="1">
      <alignment vertical="top"/>
    </xf>
    <xf numFmtId="0" fontId="0" fillId="0" borderId="1" xfId="0" applyBorder="1"/>
    <xf numFmtId="0" fontId="0" fillId="0" borderId="0" xfId="0" applyAlignment="1">
      <alignment horizontal="right"/>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0" fontId="1" fillId="2" borderId="9" xfId="0" applyFont="1" applyFill="1" applyBorder="1" applyAlignment="1">
      <alignment horizontal="center"/>
    </xf>
    <xf numFmtId="0" fontId="0" fillId="0" borderId="15" xfId="0" applyBorder="1" applyAlignment="1">
      <alignment horizontal="center"/>
    </xf>
    <xf numFmtId="0" fontId="0" fillId="0" borderId="0" xfId="0" applyAlignment="1">
      <alignment horizontal="center"/>
    </xf>
    <xf numFmtId="0" fontId="0" fillId="0" borderId="16" xfId="0" applyBorder="1" applyAlignment="1">
      <alignment horizontal="center"/>
    </xf>
    <xf numFmtId="0" fontId="0" fillId="0" borderId="17" xfId="0" applyBorder="1" applyAlignment="1">
      <alignment horizontal="center"/>
    </xf>
  </cellXfs>
  <cellStyles count="1">
    <cellStyle name="Normal" xfId="0" builtinId="0"/>
  </cellStyles>
  <dxfs count="49">
    <dxf>
      <fill>
        <patternFill>
          <bgColor rgb="FFFFC000"/>
        </patternFill>
      </fill>
    </dxf>
    <dxf>
      <fill>
        <patternFill>
          <bgColor theme="9" tint="0.39994506668294322"/>
        </patternFill>
      </fill>
    </dxf>
    <dxf>
      <fill>
        <patternFill>
          <bgColor rgb="FF00B0F0"/>
        </patternFill>
      </fill>
    </dxf>
    <dxf>
      <font>
        <color rgb="FF9C0006"/>
      </font>
      <fill>
        <patternFill>
          <bgColor rgb="FFFFC7CE"/>
        </patternFill>
      </fill>
    </dxf>
    <dxf>
      <fill>
        <patternFill>
          <bgColor rgb="FFFFC7CE"/>
        </patternFill>
      </fill>
    </dxf>
    <dxf>
      <fill>
        <patternFill>
          <bgColor theme="0" tint="-0.14996795556505021"/>
        </patternFill>
      </fill>
    </dxf>
    <dxf>
      <fill>
        <patternFill>
          <bgColor theme="0" tint="-0.14996795556505021"/>
        </patternFill>
      </fill>
    </dxf>
    <dxf>
      <font>
        <color auto="1"/>
      </font>
      <fill>
        <patternFill>
          <bgColor rgb="FFFFFF00"/>
        </patternFill>
      </fill>
    </dxf>
    <dxf>
      <font>
        <color auto="1"/>
      </font>
      <fill>
        <patternFill>
          <bgColor theme="8" tint="0.39994506668294322"/>
        </patternFill>
      </fill>
    </dxf>
    <dxf>
      <font>
        <color auto="1"/>
      </font>
      <fill>
        <patternFill>
          <bgColor theme="7" tint="0.59996337778862885"/>
        </patternFill>
      </fill>
    </dxf>
    <dxf>
      <fill>
        <patternFill>
          <bgColor theme="5" tint="0.79998168889431442"/>
        </patternFill>
      </fill>
    </dxf>
    <dxf>
      <fill>
        <patternFill>
          <bgColor rgb="FFFFC000"/>
        </patternFill>
      </fill>
    </dxf>
    <dxf>
      <fill>
        <patternFill>
          <bgColor theme="9" tint="0.39994506668294322"/>
        </patternFill>
      </fill>
    </dxf>
    <dxf>
      <fill>
        <patternFill>
          <bgColor rgb="FF00B0F0"/>
        </patternFill>
      </fill>
    </dxf>
    <dxf>
      <font>
        <color rgb="FF9C0006"/>
      </font>
      <fill>
        <patternFill>
          <bgColor rgb="FFFFC7CE"/>
        </patternFill>
      </fill>
    </dxf>
    <dxf>
      <fill>
        <patternFill>
          <bgColor rgb="FFFFC7CE"/>
        </patternFill>
      </fill>
    </dxf>
    <dxf>
      <fill>
        <patternFill>
          <bgColor theme="0" tint="-0.14996795556505021"/>
        </patternFill>
      </fill>
    </dxf>
    <dxf>
      <fill>
        <patternFill>
          <bgColor theme="0" tint="-0.14996795556505021"/>
        </patternFill>
      </fill>
    </dxf>
    <dxf>
      <font>
        <color auto="1"/>
      </font>
      <fill>
        <patternFill>
          <bgColor rgb="FFFFFF00"/>
        </patternFill>
      </fill>
    </dxf>
    <dxf>
      <font>
        <color auto="1"/>
      </font>
      <fill>
        <patternFill>
          <bgColor theme="8" tint="0.39994506668294322"/>
        </patternFill>
      </fill>
    </dxf>
    <dxf>
      <font>
        <color auto="1"/>
      </font>
      <fill>
        <patternFill>
          <bgColor theme="7" tint="0.59996337778862885"/>
        </patternFill>
      </fill>
    </dxf>
    <dxf>
      <fill>
        <patternFill>
          <bgColor theme="5" tint="0.79998168889431442"/>
        </patternFill>
      </fill>
    </dxf>
    <dxf>
      <fill>
        <patternFill>
          <bgColor rgb="FF00B0F0"/>
        </patternFill>
      </fill>
    </dxf>
    <dxf>
      <font>
        <color rgb="FF9C0006"/>
      </font>
      <fill>
        <patternFill>
          <bgColor rgb="FFFFC7CE"/>
        </patternFill>
      </fill>
    </dxf>
    <dxf>
      <fill>
        <patternFill>
          <bgColor rgb="FFFFC7CE"/>
        </patternFill>
      </fill>
    </dxf>
    <dxf>
      <fill>
        <patternFill>
          <bgColor theme="0" tint="-0.14996795556505021"/>
        </patternFill>
      </fill>
    </dxf>
    <dxf>
      <fill>
        <patternFill>
          <bgColor theme="0" tint="-0.14996795556505021"/>
        </patternFill>
      </fill>
    </dxf>
    <dxf>
      <font>
        <color auto="1"/>
      </font>
      <fill>
        <patternFill>
          <bgColor rgb="FFFFFF00"/>
        </patternFill>
      </fill>
    </dxf>
    <dxf>
      <font>
        <color auto="1"/>
      </font>
      <fill>
        <patternFill>
          <bgColor theme="8" tint="0.39994506668294322"/>
        </patternFill>
      </fill>
    </dxf>
    <dxf>
      <font>
        <color auto="1"/>
      </font>
      <fill>
        <patternFill>
          <bgColor theme="7" tint="0.59996337778862885"/>
        </patternFill>
      </fill>
    </dxf>
    <dxf>
      <fill>
        <patternFill>
          <bgColor theme="5" tint="0.79998168889431442"/>
        </patternFill>
      </fill>
    </dxf>
    <dxf>
      <fill>
        <patternFill>
          <bgColor rgb="FFFFC000"/>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ill>
        <patternFill>
          <bgColor rgb="FFFFC7CE"/>
        </patternFill>
      </fill>
    </dxf>
    <dxf>
      <fill>
        <patternFill>
          <bgColor theme="7" tint="0.79998168889431442"/>
        </patternFill>
      </fill>
    </dxf>
    <dxf>
      <font>
        <color rgb="FF9C0006"/>
      </font>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17</xdr:col>
      <xdr:colOff>30480</xdr:colOff>
      <xdr:row>4</xdr:row>
      <xdr:rowOff>91440</xdr:rowOff>
    </xdr:from>
    <xdr:to>
      <xdr:col>21</xdr:col>
      <xdr:colOff>586740</xdr:colOff>
      <xdr:row>17</xdr:row>
      <xdr:rowOff>129540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8653780" y="1018540"/>
          <a:ext cx="3248660" cy="2514600"/>
          <a:chOff x="4168140" y="891540"/>
          <a:chExt cx="2918460" cy="2415540"/>
        </a:xfrm>
      </xdr:grpSpPr>
      <xdr:sp macro="" textlink="">
        <xdr:nvSpPr>
          <xdr:cNvPr id="11" name="Arc 10">
            <a:extLst>
              <a:ext uri="{FF2B5EF4-FFF2-40B4-BE49-F238E27FC236}">
                <a16:creationId xmlns:a16="http://schemas.microsoft.com/office/drawing/2014/main" id="{00000000-0008-0000-0000-00000B000000}"/>
              </a:ext>
            </a:extLst>
          </xdr:cNvPr>
          <xdr:cNvSpPr/>
        </xdr:nvSpPr>
        <xdr:spPr>
          <a:xfrm>
            <a:off x="4168140" y="891540"/>
            <a:ext cx="2918460" cy="1882140"/>
          </a:xfrm>
          <a:prstGeom prst="arc">
            <a:avLst>
              <a:gd name="adj1" fmla="val 10808785"/>
              <a:gd name="adj2" fmla="val 29308"/>
            </a:avLst>
          </a:prstGeom>
          <a:ln>
            <a:solidFill>
              <a:schemeClr val="bg1">
                <a:lumMod val="85000"/>
                <a:alpha val="2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xnSp macro="">
        <xdr:nvCxnSpPr>
          <xdr:cNvPr id="12" name="Straight Connector 11">
            <a:extLst>
              <a:ext uri="{FF2B5EF4-FFF2-40B4-BE49-F238E27FC236}">
                <a16:creationId xmlns:a16="http://schemas.microsoft.com/office/drawing/2014/main" id="{00000000-0008-0000-0000-00000C000000}"/>
              </a:ext>
            </a:extLst>
          </xdr:cNvPr>
          <xdr:cNvCxnSpPr>
            <a:stCxn id="11" idx="0"/>
          </xdr:cNvCxnSpPr>
        </xdr:nvCxnSpPr>
        <xdr:spPr>
          <a:xfrm>
            <a:off x="4168151" y="1828881"/>
            <a:ext cx="1455409" cy="1462959"/>
          </a:xfrm>
          <a:prstGeom prst="line">
            <a:avLst/>
          </a:prstGeom>
          <a:ln>
            <a:solidFill>
              <a:schemeClr val="bg1">
                <a:lumMod val="85000"/>
                <a:alpha val="2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00000000-0008-0000-0000-00000D000000}"/>
              </a:ext>
            </a:extLst>
          </xdr:cNvPr>
          <xdr:cNvCxnSpPr>
            <a:stCxn id="11" idx="2"/>
          </xdr:cNvCxnSpPr>
        </xdr:nvCxnSpPr>
        <xdr:spPr>
          <a:xfrm flipH="1">
            <a:off x="5631180" y="1845050"/>
            <a:ext cx="1455293" cy="1462030"/>
          </a:xfrm>
          <a:prstGeom prst="line">
            <a:avLst/>
          </a:prstGeom>
          <a:ln>
            <a:solidFill>
              <a:schemeClr val="bg1">
                <a:lumMod val="85000"/>
                <a:alpha val="2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Rectangle 13">
            <a:extLst>
              <a:ext uri="{FF2B5EF4-FFF2-40B4-BE49-F238E27FC236}">
                <a16:creationId xmlns:a16="http://schemas.microsoft.com/office/drawing/2014/main" id="{00000000-0008-0000-0000-00000E000000}"/>
              </a:ext>
            </a:extLst>
          </xdr:cNvPr>
          <xdr:cNvSpPr/>
        </xdr:nvSpPr>
        <xdr:spPr>
          <a:xfrm rot="2670195">
            <a:off x="5039458" y="1860730"/>
            <a:ext cx="1188720" cy="1188720"/>
          </a:xfrm>
          <a:prstGeom prst="rect">
            <a:avLst/>
          </a:prstGeom>
          <a:noFill/>
          <a:ln>
            <a:solidFill>
              <a:schemeClr val="bg1">
                <a:lumMod val="85000"/>
                <a:alpha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23</xdr:col>
      <xdr:colOff>15240</xdr:colOff>
      <xdr:row>4</xdr:row>
      <xdr:rowOff>114300</xdr:rowOff>
    </xdr:from>
    <xdr:to>
      <xdr:col>27</xdr:col>
      <xdr:colOff>586740</xdr:colOff>
      <xdr:row>17</xdr:row>
      <xdr:rowOff>152400</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12677140" y="1041400"/>
          <a:ext cx="3263900" cy="2514600"/>
          <a:chOff x="4168140" y="891540"/>
          <a:chExt cx="2918460" cy="2415540"/>
        </a:xfrm>
      </xdr:grpSpPr>
      <xdr:sp macro="" textlink="">
        <xdr:nvSpPr>
          <xdr:cNvPr id="16" name="Arc 15">
            <a:extLst>
              <a:ext uri="{FF2B5EF4-FFF2-40B4-BE49-F238E27FC236}">
                <a16:creationId xmlns:a16="http://schemas.microsoft.com/office/drawing/2014/main" id="{00000000-0008-0000-0000-000010000000}"/>
              </a:ext>
            </a:extLst>
          </xdr:cNvPr>
          <xdr:cNvSpPr/>
        </xdr:nvSpPr>
        <xdr:spPr>
          <a:xfrm>
            <a:off x="4168140" y="891540"/>
            <a:ext cx="2918460" cy="1882140"/>
          </a:xfrm>
          <a:prstGeom prst="arc">
            <a:avLst>
              <a:gd name="adj1" fmla="val 10808785"/>
              <a:gd name="adj2" fmla="val 29308"/>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xnSp macro="">
        <xdr:nvCxnSpPr>
          <xdr:cNvPr id="17" name="Straight Connector 16">
            <a:extLst>
              <a:ext uri="{FF2B5EF4-FFF2-40B4-BE49-F238E27FC236}">
                <a16:creationId xmlns:a16="http://schemas.microsoft.com/office/drawing/2014/main" id="{00000000-0008-0000-0000-000011000000}"/>
              </a:ext>
            </a:extLst>
          </xdr:cNvPr>
          <xdr:cNvCxnSpPr>
            <a:stCxn id="16" idx="0"/>
          </xdr:cNvCxnSpPr>
        </xdr:nvCxnSpPr>
        <xdr:spPr>
          <a:xfrm>
            <a:off x="4168151" y="1828881"/>
            <a:ext cx="1455409" cy="1462959"/>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000-000012000000}"/>
              </a:ext>
            </a:extLst>
          </xdr:cNvPr>
          <xdr:cNvCxnSpPr>
            <a:stCxn id="16" idx="2"/>
          </xdr:cNvCxnSpPr>
        </xdr:nvCxnSpPr>
        <xdr:spPr>
          <a:xfrm flipH="1">
            <a:off x="5631180" y="1845050"/>
            <a:ext cx="1455293" cy="1462030"/>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9" name="Rectangle 18">
            <a:extLst>
              <a:ext uri="{FF2B5EF4-FFF2-40B4-BE49-F238E27FC236}">
                <a16:creationId xmlns:a16="http://schemas.microsoft.com/office/drawing/2014/main" id="{00000000-0008-0000-0000-000013000000}"/>
              </a:ext>
            </a:extLst>
          </xdr:cNvPr>
          <xdr:cNvSpPr/>
        </xdr:nvSpPr>
        <xdr:spPr>
          <a:xfrm rot="2670195">
            <a:off x="5039458" y="1860730"/>
            <a:ext cx="1188720" cy="1188720"/>
          </a:xfrm>
          <a:prstGeom prst="rect">
            <a:avLst/>
          </a:prstGeom>
          <a:noFill/>
          <a:ln>
            <a:solidFill>
              <a:schemeClr val="bg1">
                <a:lumMod val="75000"/>
                <a:alpha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11</xdr:col>
      <xdr:colOff>45720</xdr:colOff>
      <xdr:row>4</xdr:row>
      <xdr:rowOff>91440</xdr:rowOff>
    </xdr:from>
    <xdr:to>
      <xdr:col>15</xdr:col>
      <xdr:colOff>601980</xdr:colOff>
      <xdr:row>17</xdr:row>
      <xdr:rowOff>129540</xdr:rowOff>
    </xdr:to>
    <xdr:grpSp>
      <xdr:nvGrpSpPr>
        <xdr:cNvPr id="50" name="Group 49">
          <a:extLst>
            <a:ext uri="{FF2B5EF4-FFF2-40B4-BE49-F238E27FC236}">
              <a16:creationId xmlns:a16="http://schemas.microsoft.com/office/drawing/2014/main" id="{00000000-0008-0000-0000-000032000000}"/>
            </a:ext>
          </a:extLst>
        </xdr:cNvPr>
        <xdr:cNvGrpSpPr/>
      </xdr:nvGrpSpPr>
      <xdr:grpSpPr>
        <a:xfrm>
          <a:off x="4668520" y="1018540"/>
          <a:ext cx="3248660" cy="2514600"/>
          <a:chOff x="4168140" y="891540"/>
          <a:chExt cx="2918460" cy="2415540"/>
        </a:xfrm>
      </xdr:grpSpPr>
      <xdr:sp macro="" textlink="">
        <xdr:nvSpPr>
          <xdr:cNvPr id="51" name="Arc 50">
            <a:extLst>
              <a:ext uri="{FF2B5EF4-FFF2-40B4-BE49-F238E27FC236}">
                <a16:creationId xmlns:a16="http://schemas.microsoft.com/office/drawing/2014/main" id="{00000000-0008-0000-0000-000033000000}"/>
              </a:ext>
            </a:extLst>
          </xdr:cNvPr>
          <xdr:cNvSpPr/>
        </xdr:nvSpPr>
        <xdr:spPr>
          <a:xfrm>
            <a:off x="4168140" y="891540"/>
            <a:ext cx="2918460" cy="1882140"/>
          </a:xfrm>
          <a:prstGeom prst="arc">
            <a:avLst>
              <a:gd name="adj1" fmla="val 10808785"/>
              <a:gd name="adj2" fmla="val 29308"/>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xnSp macro="">
        <xdr:nvCxnSpPr>
          <xdr:cNvPr id="52" name="Straight Connector 51">
            <a:extLst>
              <a:ext uri="{FF2B5EF4-FFF2-40B4-BE49-F238E27FC236}">
                <a16:creationId xmlns:a16="http://schemas.microsoft.com/office/drawing/2014/main" id="{00000000-0008-0000-0000-000034000000}"/>
              </a:ext>
            </a:extLst>
          </xdr:cNvPr>
          <xdr:cNvCxnSpPr>
            <a:stCxn id="51" idx="0"/>
          </xdr:cNvCxnSpPr>
        </xdr:nvCxnSpPr>
        <xdr:spPr>
          <a:xfrm>
            <a:off x="4168151" y="1828881"/>
            <a:ext cx="1455409" cy="1462959"/>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000-000035000000}"/>
              </a:ext>
            </a:extLst>
          </xdr:cNvPr>
          <xdr:cNvCxnSpPr>
            <a:stCxn id="51" idx="2"/>
          </xdr:cNvCxnSpPr>
        </xdr:nvCxnSpPr>
        <xdr:spPr>
          <a:xfrm flipH="1">
            <a:off x="5631180" y="1845050"/>
            <a:ext cx="1455293" cy="1462030"/>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4" name="Rectangle 53">
            <a:extLst>
              <a:ext uri="{FF2B5EF4-FFF2-40B4-BE49-F238E27FC236}">
                <a16:creationId xmlns:a16="http://schemas.microsoft.com/office/drawing/2014/main" id="{00000000-0008-0000-0000-000036000000}"/>
              </a:ext>
            </a:extLst>
          </xdr:cNvPr>
          <xdr:cNvSpPr/>
        </xdr:nvSpPr>
        <xdr:spPr>
          <a:xfrm rot="2670195">
            <a:off x="5039458" y="1860730"/>
            <a:ext cx="1188720" cy="1188720"/>
          </a:xfrm>
          <a:prstGeom prst="rect">
            <a:avLst/>
          </a:prstGeom>
          <a:noFill/>
          <a:ln>
            <a:solidFill>
              <a:schemeClr val="bg1">
                <a:lumMod val="75000"/>
                <a:alpha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29</xdr:col>
      <xdr:colOff>22860</xdr:colOff>
      <xdr:row>4</xdr:row>
      <xdr:rowOff>137160</xdr:rowOff>
    </xdr:from>
    <xdr:to>
      <xdr:col>33</xdr:col>
      <xdr:colOff>594360</xdr:colOff>
      <xdr:row>17</xdr:row>
      <xdr:rowOff>175260</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6723360" y="1064260"/>
          <a:ext cx="3263900" cy="2514600"/>
          <a:chOff x="4168140" y="891540"/>
          <a:chExt cx="2918460" cy="2415540"/>
        </a:xfrm>
      </xdr:grpSpPr>
      <xdr:sp macro="" textlink="">
        <xdr:nvSpPr>
          <xdr:cNvPr id="21" name="Arc 20">
            <a:extLst>
              <a:ext uri="{FF2B5EF4-FFF2-40B4-BE49-F238E27FC236}">
                <a16:creationId xmlns:a16="http://schemas.microsoft.com/office/drawing/2014/main" id="{00000000-0008-0000-0000-000015000000}"/>
              </a:ext>
            </a:extLst>
          </xdr:cNvPr>
          <xdr:cNvSpPr/>
        </xdr:nvSpPr>
        <xdr:spPr>
          <a:xfrm>
            <a:off x="4168140" y="891540"/>
            <a:ext cx="2918460" cy="1882140"/>
          </a:xfrm>
          <a:prstGeom prst="arc">
            <a:avLst>
              <a:gd name="adj1" fmla="val 10808785"/>
              <a:gd name="adj2" fmla="val 29308"/>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xnSp macro="">
        <xdr:nvCxnSpPr>
          <xdr:cNvPr id="22" name="Straight Connector 21">
            <a:extLst>
              <a:ext uri="{FF2B5EF4-FFF2-40B4-BE49-F238E27FC236}">
                <a16:creationId xmlns:a16="http://schemas.microsoft.com/office/drawing/2014/main" id="{00000000-0008-0000-0000-000016000000}"/>
              </a:ext>
            </a:extLst>
          </xdr:cNvPr>
          <xdr:cNvCxnSpPr>
            <a:stCxn id="21" idx="0"/>
          </xdr:cNvCxnSpPr>
        </xdr:nvCxnSpPr>
        <xdr:spPr>
          <a:xfrm>
            <a:off x="4168151" y="1828881"/>
            <a:ext cx="1455409" cy="1462959"/>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000-000017000000}"/>
              </a:ext>
            </a:extLst>
          </xdr:cNvPr>
          <xdr:cNvCxnSpPr>
            <a:stCxn id="21" idx="2"/>
          </xdr:cNvCxnSpPr>
        </xdr:nvCxnSpPr>
        <xdr:spPr>
          <a:xfrm flipH="1">
            <a:off x="5631180" y="1845050"/>
            <a:ext cx="1455293" cy="1462030"/>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4" name="Rectangle 23">
            <a:extLst>
              <a:ext uri="{FF2B5EF4-FFF2-40B4-BE49-F238E27FC236}">
                <a16:creationId xmlns:a16="http://schemas.microsoft.com/office/drawing/2014/main" id="{00000000-0008-0000-0000-000018000000}"/>
              </a:ext>
            </a:extLst>
          </xdr:cNvPr>
          <xdr:cNvSpPr/>
        </xdr:nvSpPr>
        <xdr:spPr>
          <a:xfrm rot="2670195">
            <a:off x="5039458" y="1860730"/>
            <a:ext cx="1188720" cy="1188720"/>
          </a:xfrm>
          <a:prstGeom prst="rect">
            <a:avLst/>
          </a:prstGeom>
          <a:noFill/>
          <a:ln>
            <a:solidFill>
              <a:schemeClr val="bg1">
                <a:lumMod val="75000"/>
                <a:alpha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35</xdr:col>
      <xdr:colOff>15240</xdr:colOff>
      <xdr:row>4</xdr:row>
      <xdr:rowOff>129540</xdr:rowOff>
    </xdr:from>
    <xdr:to>
      <xdr:col>39</xdr:col>
      <xdr:colOff>586740</xdr:colOff>
      <xdr:row>17</xdr:row>
      <xdr:rowOff>167640</xdr:rowOff>
    </xdr:to>
    <xdr:grpSp>
      <xdr:nvGrpSpPr>
        <xdr:cNvPr id="35" name="Group 34">
          <a:extLst>
            <a:ext uri="{FF2B5EF4-FFF2-40B4-BE49-F238E27FC236}">
              <a16:creationId xmlns:a16="http://schemas.microsoft.com/office/drawing/2014/main" id="{00000000-0008-0000-0000-000023000000}"/>
            </a:ext>
          </a:extLst>
        </xdr:cNvPr>
        <xdr:cNvGrpSpPr/>
      </xdr:nvGrpSpPr>
      <xdr:grpSpPr>
        <a:xfrm>
          <a:off x="20754340" y="1056640"/>
          <a:ext cx="3263900" cy="2514600"/>
          <a:chOff x="4168140" y="891540"/>
          <a:chExt cx="2918460" cy="2415540"/>
        </a:xfrm>
      </xdr:grpSpPr>
      <xdr:sp macro="" textlink="">
        <xdr:nvSpPr>
          <xdr:cNvPr id="36" name="Arc 35">
            <a:extLst>
              <a:ext uri="{FF2B5EF4-FFF2-40B4-BE49-F238E27FC236}">
                <a16:creationId xmlns:a16="http://schemas.microsoft.com/office/drawing/2014/main" id="{00000000-0008-0000-0000-000024000000}"/>
              </a:ext>
            </a:extLst>
          </xdr:cNvPr>
          <xdr:cNvSpPr/>
        </xdr:nvSpPr>
        <xdr:spPr>
          <a:xfrm>
            <a:off x="4168140" y="891540"/>
            <a:ext cx="2918460" cy="1882140"/>
          </a:xfrm>
          <a:prstGeom prst="arc">
            <a:avLst>
              <a:gd name="adj1" fmla="val 10808785"/>
              <a:gd name="adj2" fmla="val 29308"/>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xnSp macro="">
        <xdr:nvCxnSpPr>
          <xdr:cNvPr id="37" name="Straight Connector 36">
            <a:extLst>
              <a:ext uri="{FF2B5EF4-FFF2-40B4-BE49-F238E27FC236}">
                <a16:creationId xmlns:a16="http://schemas.microsoft.com/office/drawing/2014/main" id="{00000000-0008-0000-0000-000025000000}"/>
              </a:ext>
            </a:extLst>
          </xdr:cNvPr>
          <xdr:cNvCxnSpPr>
            <a:stCxn id="36" idx="0"/>
          </xdr:cNvCxnSpPr>
        </xdr:nvCxnSpPr>
        <xdr:spPr>
          <a:xfrm>
            <a:off x="4168151" y="1828881"/>
            <a:ext cx="1455409" cy="1462959"/>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00000000-0008-0000-0000-000026000000}"/>
              </a:ext>
            </a:extLst>
          </xdr:cNvPr>
          <xdr:cNvCxnSpPr>
            <a:stCxn id="36" idx="2"/>
          </xdr:cNvCxnSpPr>
        </xdr:nvCxnSpPr>
        <xdr:spPr>
          <a:xfrm flipH="1">
            <a:off x="5631180" y="1845050"/>
            <a:ext cx="1455293" cy="1462030"/>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00000000-0008-0000-0000-000027000000}"/>
              </a:ext>
            </a:extLst>
          </xdr:cNvPr>
          <xdr:cNvSpPr/>
        </xdr:nvSpPr>
        <xdr:spPr>
          <a:xfrm rot="2670195">
            <a:off x="5039458" y="1860730"/>
            <a:ext cx="1188720" cy="1188720"/>
          </a:xfrm>
          <a:prstGeom prst="rect">
            <a:avLst/>
          </a:prstGeom>
          <a:noFill/>
          <a:ln>
            <a:solidFill>
              <a:schemeClr val="bg1">
                <a:lumMod val="75000"/>
                <a:alpha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41</xdr:col>
      <xdr:colOff>15240</xdr:colOff>
      <xdr:row>4</xdr:row>
      <xdr:rowOff>144780</xdr:rowOff>
    </xdr:from>
    <xdr:to>
      <xdr:col>45</xdr:col>
      <xdr:colOff>586740</xdr:colOff>
      <xdr:row>18</xdr:row>
      <xdr:rowOff>0</xdr:rowOff>
    </xdr:to>
    <xdr:grpSp>
      <xdr:nvGrpSpPr>
        <xdr:cNvPr id="40" name="Group 39">
          <a:extLst>
            <a:ext uri="{FF2B5EF4-FFF2-40B4-BE49-F238E27FC236}">
              <a16:creationId xmlns:a16="http://schemas.microsoft.com/office/drawing/2014/main" id="{00000000-0008-0000-0000-000028000000}"/>
            </a:ext>
          </a:extLst>
        </xdr:cNvPr>
        <xdr:cNvGrpSpPr/>
      </xdr:nvGrpSpPr>
      <xdr:grpSpPr>
        <a:xfrm>
          <a:off x="24792940" y="1071880"/>
          <a:ext cx="3263900" cy="2522220"/>
          <a:chOff x="4168140" y="891540"/>
          <a:chExt cx="2918460" cy="2415540"/>
        </a:xfrm>
      </xdr:grpSpPr>
      <xdr:sp macro="" textlink="">
        <xdr:nvSpPr>
          <xdr:cNvPr id="41" name="Arc 40">
            <a:extLst>
              <a:ext uri="{FF2B5EF4-FFF2-40B4-BE49-F238E27FC236}">
                <a16:creationId xmlns:a16="http://schemas.microsoft.com/office/drawing/2014/main" id="{00000000-0008-0000-0000-000029000000}"/>
              </a:ext>
            </a:extLst>
          </xdr:cNvPr>
          <xdr:cNvSpPr/>
        </xdr:nvSpPr>
        <xdr:spPr>
          <a:xfrm>
            <a:off x="4168140" y="891540"/>
            <a:ext cx="2918460" cy="1882140"/>
          </a:xfrm>
          <a:prstGeom prst="arc">
            <a:avLst>
              <a:gd name="adj1" fmla="val 10808785"/>
              <a:gd name="adj2" fmla="val 29308"/>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xnSp macro="">
        <xdr:nvCxnSpPr>
          <xdr:cNvPr id="42" name="Straight Connector 41">
            <a:extLst>
              <a:ext uri="{FF2B5EF4-FFF2-40B4-BE49-F238E27FC236}">
                <a16:creationId xmlns:a16="http://schemas.microsoft.com/office/drawing/2014/main" id="{00000000-0008-0000-0000-00002A000000}"/>
              </a:ext>
            </a:extLst>
          </xdr:cNvPr>
          <xdr:cNvCxnSpPr>
            <a:stCxn id="41" idx="0"/>
          </xdr:cNvCxnSpPr>
        </xdr:nvCxnSpPr>
        <xdr:spPr>
          <a:xfrm>
            <a:off x="4168151" y="1828881"/>
            <a:ext cx="1455409" cy="1462959"/>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3" name="Straight Connector 42">
            <a:extLst>
              <a:ext uri="{FF2B5EF4-FFF2-40B4-BE49-F238E27FC236}">
                <a16:creationId xmlns:a16="http://schemas.microsoft.com/office/drawing/2014/main" id="{00000000-0008-0000-0000-00002B000000}"/>
              </a:ext>
            </a:extLst>
          </xdr:cNvPr>
          <xdr:cNvCxnSpPr>
            <a:stCxn id="41" idx="2"/>
          </xdr:cNvCxnSpPr>
        </xdr:nvCxnSpPr>
        <xdr:spPr>
          <a:xfrm flipH="1">
            <a:off x="5631180" y="1845050"/>
            <a:ext cx="1455293" cy="1462030"/>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00000000-0008-0000-0000-00002C000000}"/>
              </a:ext>
            </a:extLst>
          </xdr:cNvPr>
          <xdr:cNvSpPr/>
        </xdr:nvSpPr>
        <xdr:spPr>
          <a:xfrm rot="2670195">
            <a:off x="5039458" y="1860730"/>
            <a:ext cx="1188720" cy="1188720"/>
          </a:xfrm>
          <a:prstGeom prst="rect">
            <a:avLst/>
          </a:prstGeom>
          <a:noFill/>
          <a:ln>
            <a:solidFill>
              <a:schemeClr val="bg1">
                <a:lumMod val="75000"/>
                <a:alpha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47</xdr:col>
      <xdr:colOff>22860</xdr:colOff>
      <xdr:row>4</xdr:row>
      <xdr:rowOff>160020</xdr:rowOff>
    </xdr:from>
    <xdr:to>
      <xdr:col>51</xdr:col>
      <xdr:colOff>594360</xdr:colOff>
      <xdr:row>18</xdr:row>
      <xdr:rowOff>15240</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28839160" y="1087120"/>
          <a:ext cx="3263900" cy="2522220"/>
          <a:chOff x="4168140" y="891540"/>
          <a:chExt cx="2918460" cy="2415540"/>
        </a:xfrm>
      </xdr:grpSpPr>
      <xdr:sp macro="" textlink="">
        <xdr:nvSpPr>
          <xdr:cNvPr id="46" name="Arc 45">
            <a:extLst>
              <a:ext uri="{FF2B5EF4-FFF2-40B4-BE49-F238E27FC236}">
                <a16:creationId xmlns:a16="http://schemas.microsoft.com/office/drawing/2014/main" id="{00000000-0008-0000-0000-00002E000000}"/>
              </a:ext>
            </a:extLst>
          </xdr:cNvPr>
          <xdr:cNvSpPr/>
        </xdr:nvSpPr>
        <xdr:spPr>
          <a:xfrm>
            <a:off x="4168140" y="891540"/>
            <a:ext cx="2918460" cy="1882140"/>
          </a:xfrm>
          <a:prstGeom prst="arc">
            <a:avLst>
              <a:gd name="adj1" fmla="val 10808785"/>
              <a:gd name="adj2" fmla="val 29308"/>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xnSp macro="">
        <xdr:nvCxnSpPr>
          <xdr:cNvPr id="47" name="Straight Connector 46">
            <a:extLst>
              <a:ext uri="{FF2B5EF4-FFF2-40B4-BE49-F238E27FC236}">
                <a16:creationId xmlns:a16="http://schemas.microsoft.com/office/drawing/2014/main" id="{00000000-0008-0000-0000-00002F000000}"/>
              </a:ext>
            </a:extLst>
          </xdr:cNvPr>
          <xdr:cNvCxnSpPr>
            <a:stCxn id="46" idx="0"/>
          </xdr:cNvCxnSpPr>
        </xdr:nvCxnSpPr>
        <xdr:spPr>
          <a:xfrm>
            <a:off x="4168151" y="1828881"/>
            <a:ext cx="1455409" cy="1462959"/>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00000000-0008-0000-0000-000030000000}"/>
              </a:ext>
            </a:extLst>
          </xdr:cNvPr>
          <xdr:cNvCxnSpPr>
            <a:stCxn id="46" idx="2"/>
          </xdr:cNvCxnSpPr>
        </xdr:nvCxnSpPr>
        <xdr:spPr>
          <a:xfrm flipH="1">
            <a:off x="5631180" y="1845050"/>
            <a:ext cx="1455293" cy="1462030"/>
          </a:xfrm>
          <a:prstGeom prst="line">
            <a:avLst/>
          </a:prstGeom>
          <a:ln>
            <a:solidFill>
              <a:schemeClr val="bg1">
                <a:lumMod val="75000"/>
                <a:alpha val="2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9" name="Rectangle 48">
            <a:extLst>
              <a:ext uri="{FF2B5EF4-FFF2-40B4-BE49-F238E27FC236}">
                <a16:creationId xmlns:a16="http://schemas.microsoft.com/office/drawing/2014/main" id="{00000000-0008-0000-0000-000031000000}"/>
              </a:ext>
            </a:extLst>
          </xdr:cNvPr>
          <xdr:cNvSpPr/>
        </xdr:nvSpPr>
        <xdr:spPr>
          <a:xfrm rot="2670195">
            <a:off x="5039458" y="1860730"/>
            <a:ext cx="1188720" cy="1188720"/>
          </a:xfrm>
          <a:prstGeom prst="rect">
            <a:avLst/>
          </a:prstGeom>
          <a:noFill/>
          <a:ln>
            <a:solidFill>
              <a:schemeClr val="bg1">
                <a:lumMod val="75000"/>
                <a:alpha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15</xdr:col>
      <xdr:colOff>601980</xdr:colOff>
      <xdr:row>19</xdr:row>
      <xdr:rowOff>91440</xdr:rowOff>
    </xdr:from>
    <xdr:to>
      <xdr:col>16</xdr:col>
      <xdr:colOff>541020</xdr:colOff>
      <xdr:row>23</xdr:row>
      <xdr:rowOff>0</xdr:rowOff>
    </xdr:to>
    <xdr:sp macro="[0]!Copy1To2" textlink="">
      <xdr:nvSpPr>
        <xdr:cNvPr id="3" name="TextBox 2">
          <a:extLst>
            <a:ext uri="{FF2B5EF4-FFF2-40B4-BE49-F238E27FC236}">
              <a16:creationId xmlns:a16="http://schemas.microsoft.com/office/drawing/2014/main" id="{00000000-0008-0000-0000-000003000000}"/>
            </a:ext>
          </a:extLst>
        </xdr:cNvPr>
        <xdr:cNvSpPr txBox="1"/>
      </xdr:nvSpPr>
      <xdr:spPr>
        <a:xfrm>
          <a:off x="7261860" y="3566160"/>
          <a:ext cx="548640" cy="640080"/>
        </a:xfrm>
        <a:prstGeom prst="rect">
          <a:avLst/>
        </a:prstGeom>
        <a:solidFill>
          <a:schemeClr val="accent4">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Copy</a:t>
          </a:r>
          <a:endParaRPr lang="en-US" sz="1100" baseline="0"/>
        </a:p>
        <a:p>
          <a:pPr algn="ctr"/>
          <a:r>
            <a:rPr lang="en-US" sz="1100" baseline="0"/>
            <a:t>1 to 2</a:t>
          </a:r>
        </a:p>
        <a:p>
          <a:pPr algn="ctr"/>
          <a:r>
            <a:rPr lang="en-US" sz="1100" baseline="0"/>
            <a:t>-&gt;</a:t>
          </a:r>
          <a:endParaRPr lang="en-US" sz="1100"/>
        </a:p>
      </xdr:txBody>
    </xdr:sp>
    <xdr:clientData/>
  </xdr:twoCellAnchor>
  <xdr:twoCellAnchor>
    <xdr:from>
      <xdr:col>12</xdr:col>
      <xdr:colOff>300990</xdr:colOff>
      <xdr:row>20</xdr:row>
      <xdr:rowOff>51435</xdr:rowOff>
    </xdr:from>
    <xdr:to>
      <xdr:col>14</xdr:col>
      <xdr:colOff>400050</xdr:colOff>
      <xdr:row>22</xdr:row>
      <xdr:rowOff>36195</xdr:rowOff>
    </xdr:to>
    <xdr:sp macro="[0]!ClearInning1" textlink="">
      <xdr:nvSpPr>
        <xdr:cNvPr id="5" name="TextBox 4">
          <a:extLst>
            <a:ext uri="{FF2B5EF4-FFF2-40B4-BE49-F238E27FC236}">
              <a16:creationId xmlns:a16="http://schemas.microsoft.com/office/drawing/2014/main" id="{00000000-0008-0000-0000-000005000000}"/>
            </a:ext>
          </a:extLst>
        </xdr:cNvPr>
        <xdr:cNvSpPr txBox="1"/>
      </xdr:nvSpPr>
      <xdr:spPr>
        <a:xfrm>
          <a:off x="4977765" y="3928110"/>
          <a:ext cx="1280160" cy="365760"/>
        </a:xfrm>
        <a:prstGeom prst="rect">
          <a:avLst/>
        </a:prstGeom>
        <a:solidFill>
          <a:schemeClr val="accent2">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Clear</a:t>
          </a:r>
          <a:r>
            <a:rPr lang="en-US" sz="1100" baseline="0"/>
            <a:t> Inning 1</a:t>
          </a:r>
          <a:endParaRPr lang="en-US" sz="1100"/>
        </a:p>
      </xdr:txBody>
    </xdr:sp>
    <xdr:clientData/>
  </xdr:twoCellAnchor>
  <xdr:twoCellAnchor>
    <xdr:from>
      <xdr:col>22</xdr:col>
      <xdr:colOff>45720</xdr:colOff>
      <xdr:row>19</xdr:row>
      <xdr:rowOff>114300</xdr:rowOff>
    </xdr:from>
    <xdr:to>
      <xdr:col>22</xdr:col>
      <xdr:colOff>594360</xdr:colOff>
      <xdr:row>23</xdr:row>
      <xdr:rowOff>22860</xdr:rowOff>
    </xdr:to>
    <xdr:sp macro="[0]!Copy2To3" textlink="">
      <xdr:nvSpPr>
        <xdr:cNvPr id="8" name="TextBox 7">
          <a:extLst>
            <a:ext uri="{FF2B5EF4-FFF2-40B4-BE49-F238E27FC236}">
              <a16:creationId xmlns:a16="http://schemas.microsoft.com/office/drawing/2014/main" id="{00000000-0008-0000-0000-000008000000}"/>
            </a:ext>
          </a:extLst>
        </xdr:cNvPr>
        <xdr:cNvSpPr txBox="1"/>
      </xdr:nvSpPr>
      <xdr:spPr>
        <a:xfrm>
          <a:off x="10934700" y="3589020"/>
          <a:ext cx="548640" cy="640080"/>
        </a:xfrm>
        <a:prstGeom prst="rect">
          <a:avLst/>
        </a:prstGeom>
        <a:solidFill>
          <a:schemeClr val="accent4">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Copy</a:t>
          </a:r>
        </a:p>
        <a:p>
          <a:pPr algn="ctr"/>
          <a:r>
            <a:rPr lang="en-US" sz="1100"/>
            <a:t>2 to 3</a:t>
          </a:r>
        </a:p>
        <a:p>
          <a:pPr algn="ctr"/>
          <a:r>
            <a:rPr lang="en-US" sz="1100"/>
            <a:t>-&gt;</a:t>
          </a:r>
        </a:p>
      </xdr:txBody>
    </xdr:sp>
    <xdr:clientData/>
  </xdr:twoCellAnchor>
  <xdr:twoCellAnchor>
    <xdr:from>
      <xdr:col>3</xdr:col>
      <xdr:colOff>121918</xdr:colOff>
      <xdr:row>19</xdr:row>
      <xdr:rowOff>115387</xdr:rowOff>
    </xdr:from>
    <xdr:to>
      <xdr:col>9</xdr:col>
      <xdr:colOff>7618</xdr:colOff>
      <xdr:row>21</xdr:row>
      <xdr:rowOff>115387</xdr:rowOff>
    </xdr:to>
    <xdr:sp macro="[0]!ClearBattingOrder" textlink="">
      <xdr:nvSpPr>
        <xdr:cNvPr id="25" name="TextBox 24">
          <a:extLst>
            <a:ext uri="{FF2B5EF4-FFF2-40B4-BE49-F238E27FC236}">
              <a16:creationId xmlns:a16="http://schemas.microsoft.com/office/drawing/2014/main" id="{00000000-0008-0000-0000-000019000000}"/>
            </a:ext>
          </a:extLst>
        </xdr:cNvPr>
        <xdr:cNvSpPr txBox="1"/>
      </xdr:nvSpPr>
      <xdr:spPr>
        <a:xfrm>
          <a:off x="1864993" y="3734887"/>
          <a:ext cx="1371600" cy="381000"/>
        </a:xfrm>
        <a:prstGeom prst="rect">
          <a:avLst/>
        </a:prstGeom>
        <a:solidFill>
          <a:schemeClr val="accent2">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Clear Batting Order</a:t>
          </a:r>
        </a:p>
      </xdr:txBody>
    </xdr:sp>
    <xdr:clientData/>
  </xdr:twoCellAnchor>
  <xdr:twoCellAnchor>
    <xdr:from>
      <xdr:col>3</xdr:col>
      <xdr:colOff>118652</xdr:colOff>
      <xdr:row>22</xdr:row>
      <xdr:rowOff>27208</xdr:rowOff>
    </xdr:from>
    <xdr:to>
      <xdr:col>9</xdr:col>
      <xdr:colOff>4352</xdr:colOff>
      <xdr:row>39</xdr:row>
      <xdr:rowOff>27208</xdr:rowOff>
    </xdr:to>
    <xdr:sp macro="[0]!ClearAllInnings" textlink="">
      <xdr:nvSpPr>
        <xdr:cNvPr id="26" name="TextBox 25">
          <a:extLst>
            <a:ext uri="{FF2B5EF4-FFF2-40B4-BE49-F238E27FC236}">
              <a16:creationId xmlns:a16="http://schemas.microsoft.com/office/drawing/2014/main" id="{00000000-0008-0000-0000-00001A000000}"/>
            </a:ext>
          </a:extLst>
        </xdr:cNvPr>
        <xdr:cNvSpPr txBox="1"/>
      </xdr:nvSpPr>
      <xdr:spPr>
        <a:xfrm>
          <a:off x="1861727" y="4218208"/>
          <a:ext cx="1371600" cy="381000"/>
        </a:xfrm>
        <a:prstGeom prst="rect">
          <a:avLst/>
        </a:prstGeom>
        <a:solidFill>
          <a:schemeClr val="accent2">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Clear All Innings</a:t>
          </a:r>
        </a:p>
      </xdr:txBody>
    </xdr:sp>
    <xdr:clientData/>
  </xdr:twoCellAnchor>
  <xdr:twoCellAnchor>
    <xdr:from>
      <xdr:col>28</xdr:col>
      <xdr:colOff>22860</xdr:colOff>
      <xdr:row>19</xdr:row>
      <xdr:rowOff>91440</xdr:rowOff>
    </xdr:from>
    <xdr:to>
      <xdr:col>28</xdr:col>
      <xdr:colOff>571500</xdr:colOff>
      <xdr:row>23</xdr:row>
      <xdr:rowOff>0</xdr:rowOff>
    </xdr:to>
    <xdr:sp macro="[0]!Copy3To4" textlink="">
      <xdr:nvSpPr>
        <xdr:cNvPr id="2" name="TextBox 1">
          <a:extLst>
            <a:ext uri="{FF2B5EF4-FFF2-40B4-BE49-F238E27FC236}">
              <a16:creationId xmlns:a16="http://schemas.microsoft.com/office/drawing/2014/main" id="{00000000-0008-0000-0000-000002000000}"/>
            </a:ext>
          </a:extLst>
        </xdr:cNvPr>
        <xdr:cNvSpPr txBox="1"/>
      </xdr:nvSpPr>
      <xdr:spPr>
        <a:xfrm>
          <a:off x="14569440" y="3566160"/>
          <a:ext cx="548640" cy="640080"/>
        </a:xfrm>
        <a:prstGeom prst="rect">
          <a:avLst/>
        </a:prstGeom>
        <a:solidFill>
          <a:schemeClr val="accent4">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Copy</a:t>
          </a:r>
        </a:p>
        <a:p>
          <a:pPr algn="ctr"/>
          <a:r>
            <a:rPr lang="en-US" sz="1100"/>
            <a:t>3 to 4</a:t>
          </a:r>
        </a:p>
        <a:p>
          <a:pPr algn="ctr"/>
          <a:r>
            <a:rPr lang="en-US" sz="1100"/>
            <a:t>-&gt;</a:t>
          </a:r>
        </a:p>
      </xdr:txBody>
    </xdr:sp>
    <xdr:clientData/>
  </xdr:twoCellAnchor>
  <xdr:twoCellAnchor>
    <xdr:from>
      <xdr:col>34</xdr:col>
      <xdr:colOff>22860</xdr:colOff>
      <xdr:row>19</xdr:row>
      <xdr:rowOff>121920</xdr:rowOff>
    </xdr:from>
    <xdr:to>
      <xdr:col>34</xdr:col>
      <xdr:colOff>571500</xdr:colOff>
      <xdr:row>23</xdr:row>
      <xdr:rowOff>30480</xdr:rowOff>
    </xdr:to>
    <xdr:sp macro="[0]!Copy4To5" textlink="">
      <xdr:nvSpPr>
        <xdr:cNvPr id="4" name="TextBox 3">
          <a:extLst>
            <a:ext uri="{FF2B5EF4-FFF2-40B4-BE49-F238E27FC236}">
              <a16:creationId xmlns:a16="http://schemas.microsoft.com/office/drawing/2014/main" id="{00000000-0008-0000-0000-000004000000}"/>
            </a:ext>
          </a:extLst>
        </xdr:cNvPr>
        <xdr:cNvSpPr txBox="1"/>
      </xdr:nvSpPr>
      <xdr:spPr>
        <a:xfrm>
          <a:off x="18227040" y="3596640"/>
          <a:ext cx="548640" cy="640080"/>
        </a:xfrm>
        <a:prstGeom prst="rect">
          <a:avLst/>
        </a:prstGeom>
        <a:solidFill>
          <a:schemeClr val="accent4">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Copy</a:t>
          </a:r>
        </a:p>
        <a:p>
          <a:pPr algn="ctr"/>
          <a:r>
            <a:rPr lang="en-US" sz="1100"/>
            <a:t>4 to 5</a:t>
          </a:r>
        </a:p>
        <a:p>
          <a:pPr algn="ctr"/>
          <a:r>
            <a:rPr lang="en-US" sz="1100"/>
            <a:t>-&gt;</a:t>
          </a:r>
        </a:p>
      </xdr:txBody>
    </xdr:sp>
    <xdr:clientData/>
  </xdr:twoCellAnchor>
  <xdr:twoCellAnchor>
    <xdr:from>
      <xdr:col>40</xdr:col>
      <xdr:colOff>22860</xdr:colOff>
      <xdr:row>19</xdr:row>
      <xdr:rowOff>114300</xdr:rowOff>
    </xdr:from>
    <xdr:to>
      <xdr:col>40</xdr:col>
      <xdr:colOff>571500</xdr:colOff>
      <xdr:row>23</xdr:row>
      <xdr:rowOff>22860</xdr:rowOff>
    </xdr:to>
    <xdr:sp macro="[0]!Copy5To6" textlink="">
      <xdr:nvSpPr>
        <xdr:cNvPr id="6" name="TextBox 5">
          <a:extLst>
            <a:ext uri="{FF2B5EF4-FFF2-40B4-BE49-F238E27FC236}">
              <a16:creationId xmlns:a16="http://schemas.microsoft.com/office/drawing/2014/main" id="{00000000-0008-0000-0000-000006000000}"/>
            </a:ext>
          </a:extLst>
        </xdr:cNvPr>
        <xdr:cNvSpPr txBox="1"/>
      </xdr:nvSpPr>
      <xdr:spPr>
        <a:xfrm>
          <a:off x="21884640" y="3589020"/>
          <a:ext cx="548640" cy="640080"/>
        </a:xfrm>
        <a:prstGeom prst="rect">
          <a:avLst/>
        </a:prstGeom>
        <a:solidFill>
          <a:schemeClr val="accent4">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Copy</a:t>
          </a:r>
        </a:p>
        <a:p>
          <a:pPr algn="ctr"/>
          <a:r>
            <a:rPr lang="en-US" sz="1100"/>
            <a:t>5 to 6</a:t>
          </a:r>
        </a:p>
        <a:p>
          <a:pPr algn="ctr"/>
          <a:r>
            <a:rPr lang="en-US" sz="1100"/>
            <a:t>-&gt;</a:t>
          </a:r>
        </a:p>
      </xdr:txBody>
    </xdr:sp>
    <xdr:clientData/>
  </xdr:twoCellAnchor>
  <xdr:twoCellAnchor>
    <xdr:from>
      <xdr:col>46</xdr:col>
      <xdr:colOff>22860</xdr:colOff>
      <xdr:row>19</xdr:row>
      <xdr:rowOff>144780</xdr:rowOff>
    </xdr:from>
    <xdr:to>
      <xdr:col>46</xdr:col>
      <xdr:colOff>571500</xdr:colOff>
      <xdr:row>23</xdr:row>
      <xdr:rowOff>53340</xdr:rowOff>
    </xdr:to>
    <xdr:sp macro="[0]!Copy6To7" textlink="">
      <xdr:nvSpPr>
        <xdr:cNvPr id="7" name="TextBox 6">
          <a:extLst>
            <a:ext uri="{FF2B5EF4-FFF2-40B4-BE49-F238E27FC236}">
              <a16:creationId xmlns:a16="http://schemas.microsoft.com/office/drawing/2014/main" id="{00000000-0008-0000-0000-000007000000}"/>
            </a:ext>
          </a:extLst>
        </xdr:cNvPr>
        <xdr:cNvSpPr txBox="1"/>
      </xdr:nvSpPr>
      <xdr:spPr>
        <a:xfrm>
          <a:off x="25542240" y="3619500"/>
          <a:ext cx="548640" cy="640080"/>
        </a:xfrm>
        <a:prstGeom prst="rect">
          <a:avLst/>
        </a:prstGeom>
        <a:solidFill>
          <a:schemeClr val="accent4">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Copy</a:t>
          </a:r>
        </a:p>
        <a:p>
          <a:pPr algn="ctr"/>
          <a:r>
            <a:rPr lang="en-US" sz="1100"/>
            <a:t>6 to 7</a:t>
          </a:r>
        </a:p>
        <a:p>
          <a:pPr algn="ctr"/>
          <a:r>
            <a:rPr lang="en-US" sz="1100"/>
            <a:t>-&gt;</a:t>
          </a:r>
        </a:p>
      </xdr:txBody>
    </xdr:sp>
    <xdr:clientData/>
  </xdr:twoCellAnchor>
  <xdr:twoCellAnchor>
    <xdr:from>
      <xdr:col>18</xdr:col>
      <xdr:colOff>276225</xdr:colOff>
      <xdr:row>20</xdr:row>
      <xdr:rowOff>43815</xdr:rowOff>
    </xdr:from>
    <xdr:to>
      <xdr:col>20</xdr:col>
      <xdr:colOff>375285</xdr:colOff>
      <xdr:row>22</xdr:row>
      <xdr:rowOff>28575</xdr:rowOff>
    </xdr:to>
    <xdr:sp macro="[0]!ClearInning2" textlink="">
      <xdr:nvSpPr>
        <xdr:cNvPr id="9" name="TextBox 8">
          <a:extLst>
            <a:ext uri="{FF2B5EF4-FFF2-40B4-BE49-F238E27FC236}">
              <a16:creationId xmlns:a16="http://schemas.microsoft.com/office/drawing/2014/main" id="{00000000-0008-0000-0000-000009000000}"/>
            </a:ext>
          </a:extLst>
        </xdr:cNvPr>
        <xdr:cNvSpPr txBox="1"/>
      </xdr:nvSpPr>
      <xdr:spPr>
        <a:xfrm>
          <a:off x="8458200" y="3920490"/>
          <a:ext cx="1280160" cy="365760"/>
        </a:xfrm>
        <a:prstGeom prst="rect">
          <a:avLst/>
        </a:prstGeom>
        <a:solidFill>
          <a:schemeClr val="accent2">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Clear Inning 2</a:t>
          </a:r>
        </a:p>
      </xdr:txBody>
    </xdr:sp>
    <xdr:clientData/>
  </xdr:twoCellAnchor>
  <xdr:twoCellAnchor>
    <xdr:from>
      <xdr:col>24</xdr:col>
      <xdr:colOff>293370</xdr:colOff>
      <xdr:row>20</xdr:row>
      <xdr:rowOff>45720</xdr:rowOff>
    </xdr:from>
    <xdr:to>
      <xdr:col>26</xdr:col>
      <xdr:colOff>392430</xdr:colOff>
      <xdr:row>22</xdr:row>
      <xdr:rowOff>30480</xdr:rowOff>
    </xdr:to>
    <xdr:sp macro="[0]!ClearInning3" textlink="">
      <xdr:nvSpPr>
        <xdr:cNvPr id="27" name="TextBox 26">
          <a:extLst>
            <a:ext uri="{FF2B5EF4-FFF2-40B4-BE49-F238E27FC236}">
              <a16:creationId xmlns:a16="http://schemas.microsoft.com/office/drawing/2014/main" id="{00000000-0008-0000-0000-00001B000000}"/>
            </a:ext>
          </a:extLst>
        </xdr:cNvPr>
        <xdr:cNvSpPr txBox="1"/>
      </xdr:nvSpPr>
      <xdr:spPr>
        <a:xfrm>
          <a:off x="12037695" y="3922395"/>
          <a:ext cx="1280160" cy="365760"/>
        </a:xfrm>
        <a:prstGeom prst="rect">
          <a:avLst/>
        </a:prstGeom>
        <a:solidFill>
          <a:schemeClr val="accent2">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Clear Inning 3</a:t>
          </a:r>
        </a:p>
      </xdr:txBody>
    </xdr:sp>
    <xdr:clientData/>
  </xdr:twoCellAnchor>
  <xdr:twoCellAnchor>
    <xdr:from>
      <xdr:col>30</xdr:col>
      <xdr:colOff>333375</xdr:colOff>
      <xdr:row>20</xdr:row>
      <xdr:rowOff>41910</xdr:rowOff>
    </xdr:from>
    <xdr:to>
      <xdr:col>32</xdr:col>
      <xdr:colOff>394335</xdr:colOff>
      <xdr:row>22</xdr:row>
      <xdr:rowOff>26670</xdr:rowOff>
    </xdr:to>
    <xdr:sp macro="[0]!ClearInning4" textlink="">
      <xdr:nvSpPr>
        <xdr:cNvPr id="28" name="TextBox 27">
          <a:extLst>
            <a:ext uri="{FF2B5EF4-FFF2-40B4-BE49-F238E27FC236}">
              <a16:creationId xmlns:a16="http://schemas.microsoft.com/office/drawing/2014/main" id="{00000000-0008-0000-0000-00001C000000}"/>
            </a:ext>
          </a:extLst>
        </xdr:cNvPr>
        <xdr:cNvSpPr txBox="1"/>
      </xdr:nvSpPr>
      <xdr:spPr>
        <a:xfrm>
          <a:off x="15659100" y="3918585"/>
          <a:ext cx="1280160" cy="365760"/>
        </a:xfrm>
        <a:prstGeom prst="rect">
          <a:avLst/>
        </a:prstGeom>
        <a:solidFill>
          <a:schemeClr val="accent2">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Clear Inning 4</a:t>
          </a:r>
        </a:p>
      </xdr:txBody>
    </xdr:sp>
    <xdr:clientData/>
  </xdr:twoCellAnchor>
  <xdr:twoCellAnchor>
    <xdr:from>
      <xdr:col>36</xdr:col>
      <xdr:colOff>312420</xdr:colOff>
      <xdr:row>20</xdr:row>
      <xdr:rowOff>45720</xdr:rowOff>
    </xdr:from>
    <xdr:to>
      <xdr:col>38</xdr:col>
      <xdr:colOff>373380</xdr:colOff>
      <xdr:row>22</xdr:row>
      <xdr:rowOff>30480</xdr:rowOff>
    </xdr:to>
    <xdr:sp macro="[0]!ClearInning5" textlink="">
      <xdr:nvSpPr>
        <xdr:cNvPr id="29" name="TextBox 28">
          <a:extLst>
            <a:ext uri="{FF2B5EF4-FFF2-40B4-BE49-F238E27FC236}">
              <a16:creationId xmlns:a16="http://schemas.microsoft.com/office/drawing/2014/main" id="{00000000-0008-0000-0000-00001D000000}"/>
            </a:ext>
          </a:extLst>
        </xdr:cNvPr>
        <xdr:cNvSpPr txBox="1"/>
      </xdr:nvSpPr>
      <xdr:spPr>
        <a:xfrm>
          <a:off x="19295745" y="3922395"/>
          <a:ext cx="1280160" cy="365760"/>
        </a:xfrm>
        <a:prstGeom prst="rect">
          <a:avLst/>
        </a:prstGeom>
        <a:solidFill>
          <a:schemeClr val="accent2">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Clear</a:t>
          </a:r>
          <a:r>
            <a:rPr lang="en-US" sz="1100" baseline="0"/>
            <a:t> Inning 5</a:t>
          </a:r>
          <a:endParaRPr lang="en-US" sz="1100"/>
        </a:p>
      </xdr:txBody>
    </xdr:sp>
    <xdr:clientData/>
  </xdr:twoCellAnchor>
  <xdr:twoCellAnchor>
    <xdr:from>
      <xdr:col>42</xdr:col>
      <xdr:colOff>297180</xdr:colOff>
      <xdr:row>20</xdr:row>
      <xdr:rowOff>40005</xdr:rowOff>
    </xdr:from>
    <xdr:to>
      <xdr:col>44</xdr:col>
      <xdr:colOff>358140</xdr:colOff>
      <xdr:row>22</xdr:row>
      <xdr:rowOff>24765</xdr:rowOff>
    </xdr:to>
    <xdr:sp macro="[0]!ClearInning6" textlink="">
      <xdr:nvSpPr>
        <xdr:cNvPr id="30" name="TextBox 29">
          <a:extLst>
            <a:ext uri="{FF2B5EF4-FFF2-40B4-BE49-F238E27FC236}">
              <a16:creationId xmlns:a16="http://schemas.microsoft.com/office/drawing/2014/main" id="{00000000-0008-0000-0000-00001E000000}"/>
            </a:ext>
          </a:extLst>
        </xdr:cNvPr>
        <xdr:cNvSpPr txBox="1"/>
      </xdr:nvSpPr>
      <xdr:spPr>
        <a:xfrm>
          <a:off x="22938105" y="3916680"/>
          <a:ext cx="1280160" cy="365760"/>
        </a:xfrm>
        <a:prstGeom prst="rect">
          <a:avLst/>
        </a:prstGeom>
        <a:solidFill>
          <a:schemeClr val="accent2">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Clear Inning 6</a:t>
          </a:r>
        </a:p>
      </xdr:txBody>
    </xdr:sp>
    <xdr:clientData/>
  </xdr:twoCellAnchor>
  <xdr:twoCellAnchor>
    <xdr:from>
      <xdr:col>48</xdr:col>
      <xdr:colOff>331470</xdr:colOff>
      <xdr:row>20</xdr:row>
      <xdr:rowOff>49530</xdr:rowOff>
    </xdr:from>
    <xdr:to>
      <xdr:col>50</xdr:col>
      <xdr:colOff>392430</xdr:colOff>
      <xdr:row>22</xdr:row>
      <xdr:rowOff>34290</xdr:rowOff>
    </xdr:to>
    <xdr:sp macro="[0]!ClearInning7" textlink="">
      <xdr:nvSpPr>
        <xdr:cNvPr id="31" name="TextBox 30">
          <a:extLst>
            <a:ext uri="{FF2B5EF4-FFF2-40B4-BE49-F238E27FC236}">
              <a16:creationId xmlns:a16="http://schemas.microsoft.com/office/drawing/2014/main" id="{00000000-0008-0000-0000-00001F000000}"/>
            </a:ext>
          </a:extLst>
        </xdr:cNvPr>
        <xdr:cNvSpPr txBox="1"/>
      </xdr:nvSpPr>
      <xdr:spPr>
        <a:xfrm>
          <a:off x="26629995" y="3926205"/>
          <a:ext cx="1280160" cy="365760"/>
        </a:xfrm>
        <a:prstGeom prst="rect">
          <a:avLst/>
        </a:prstGeom>
        <a:solidFill>
          <a:schemeClr val="accent2">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Clear Inning 7</a:t>
          </a:r>
        </a:p>
      </xdr:txBody>
    </xdr:sp>
    <xdr:clientData/>
  </xdr:twoCellAnchor>
  <xdr:twoCellAnchor>
    <xdr:from>
      <xdr:col>1</xdr:col>
      <xdr:colOff>42861</xdr:colOff>
      <xdr:row>22</xdr:row>
      <xdr:rowOff>21565</xdr:rowOff>
    </xdr:from>
    <xdr:to>
      <xdr:col>2</xdr:col>
      <xdr:colOff>1100136</xdr:colOff>
      <xdr:row>39</xdr:row>
      <xdr:rowOff>16329</xdr:rowOff>
    </xdr:to>
    <xdr:sp macro="[0]!ShowRosterDialog" textlink="">
      <xdr:nvSpPr>
        <xdr:cNvPr id="32" name="TextBox 31">
          <a:extLst>
            <a:ext uri="{FF2B5EF4-FFF2-40B4-BE49-F238E27FC236}">
              <a16:creationId xmlns:a16="http://schemas.microsoft.com/office/drawing/2014/main" id="{00000000-0008-0000-0000-000020000000}"/>
            </a:ext>
          </a:extLst>
        </xdr:cNvPr>
        <xdr:cNvSpPr txBox="1"/>
      </xdr:nvSpPr>
      <xdr:spPr>
        <a:xfrm>
          <a:off x="261936" y="4212565"/>
          <a:ext cx="1371600" cy="375764"/>
        </a:xfrm>
        <a:prstGeom prst="rect">
          <a:avLst/>
        </a:prstGeom>
        <a:solidFill>
          <a:schemeClr val="accent6">
            <a:lumMod val="40000"/>
            <a:lumOff val="6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ysClr val="windowText" lastClr="000000"/>
              </a:solidFill>
            </a:rPr>
            <a:t>Roster</a:t>
          </a:r>
        </a:p>
      </xdr:txBody>
    </xdr:sp>
    <xdr:clientData/>
  </xdr:twoCellAnchor>
  <xdr:twoCellAnchor>
    <xdr:from>
      <xdr:col>1</xdr:col>
      <xdr:colOff>37619</xdr:colOff>
      <xdr:row>19</xdr:row>
      <xdr:rowOff>120760</xdr:rowOff>
    </xdr:from>
    <xdr:to>
      <xdr:col>2</xdr:col>
      <xdr:colOff>1094894</xdr:colOff>
      <xdr:row>21</xdr:row>
      <xdr:rowOff>120760</xdr:rowOff>
    </xdr:to>
    <xdr:sp macro="[0]!ShowMoveLeadoffDialog" textlink="">
      <xdr:nvSpPr>
        <xdr:cNvPr id="33" name="TextBox 32">
          <a:extLst>
            <a:ext uri="{FF2B5EF4-FFF2-40B4-BE49-F238E27FC236}">
              <a16:creationId xmlns:a16="http://schemas.microsoft.com/office/drawing/2014/main" id="{00000000-0008-0000-0000-000021000000}"/>
            </a:ext>
          </a:extLst>
        </xdr:cNvPr>
        <xdr:cNvSpPr txBox="1"/>
      </xdr:nvSpPr>
      <xdr:spPr>
        <a:xfrm>
          <a:off x="256694" y="3740260"/>
          <a:ext cx="1371600" cy="381000"/>
        </a:xfrm>
        <a:prstGeom prst="rect">
          <a:avLst/>
        </a:prstGeom>
        <a:solidFill>
          <a:schemeClr val="accent6">
            <a:lumMod val="40000"/>
            <a:lumOff val="6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Move Lead-off</a:t>
          </a:r>
        </a:p>
      </xdr:txBody>
    </xdr:sp>
    <xdr:clientData/>
  </xdr:twoCellAnchor>
  <xdr:twoCellAnchor>
    <xdr:from>
      <xdr:col>2</xdr:col>
      <xdr:colOff>514350</xdr:colOff>
      <xdr:row>0</xdr:row>
      <xdr:rowOff>95251</xdr:rowOff>
    </xdr:from>
    <xdr:to>
      <xdr:col>5</xdr:col>
      <xdr:colOff>180975</xdr:colOff>
      <xdr:row>1</xdr:row>
      <xdr:rowOff>184786</xdr:rowOff>
    </xdr:to>
    <xdr:sp macro="[0]!ShowInstructions" textlink="">
      <xdr:nvSpPr>
        <xdr:cNvPr id="34" name="TextBox 33">
          <a:extLst>
            <a:ext uri="{FF2B5EF4-FFF2-40B4-BE49-F238E27FC236}">
              <a16:creationId xmlns:a16="http://schemas.microsoft.com/office/drawing/2014/main" id="{00000000-0008-0000-0000-000022000000}"/>
            </a:ext>
          </a:extLst>
        </xdr:cNvPr>
        <xdr:cNvSpPr txBox="1"/>
      </xdr:nvSpPr>
      <xdr:spPr>
        <a:xfrm>
          <a:off x="1047750" y="95251"/>
          <a:ext cx="1371600" cy="365760"/>
        </a:xfrm>
        <a:prstGeom prst="rect">
          <a:avLst/>
        </a:prstGeom>
        <a:solidFill>
          <a:schemeClr val="accent6">
            <a:lumMod val="40000"/>
            <a:lumOff val="60000"/>
          </a:schemeClr>
        </a:solidFill>
        <a:ln w="9525" cap="flat"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Instructions</a:t>
          </a:r>
        </a:p>
      </xdr:txBody>
    </xdr:sp>
    <xdr:clientData/>
  </xdr:twoCellAnchor>
  <xdr:twoCellAnchor>
    <xdr:from>
      <xdr:col>1</xdr:col>
      <xdr:colOff>40546</xdr:colOff>
      <xdr:row>39</xdr:row>
      <xdr:rowOff>103420</xdr:rowOff>
    </xdr:from>
    <xdr:to>
      <xdr:col>2</xdr:col>
      <xdr:colOff>1097821</xdr:colOff>
      <xdr:row>41</xdr:row>
      <xdr:rowOff>103685</xdr:rowOff>
    </xdr:to>
    <xdr:sp macro="[0]!AddSchedule" textlink="">
      <xdr:nvSpPr>
        <xdr:cNvPr id="55" name="TextBox 54">
          <a:extLst>
            <a:ext uri="{FF2B5EF4-FFF2-40B4-BE49-F238E27FC236}">
              <a16:creationId xmlns:a16="http://schemas.microsoft.com/office/drawing/2014/main" id="{00000000-0008-0000-0000-000037000000}"/>
            </a:ext>
          </a:extLst>
        </xdr:cNvPr>
        <xdr:cNvSpPr txBox="1"/>
      </xdr:nvSpPr>
      <xdr:spPr>
        <a:xfrm>
          <a:off x="259621" y="4675420"/>
          <a:ext cx="1371600" cy="371740"/>
        </a:xfrm>
        <a:prstGeom prst="rect">
          <a:avLst/>
        </a:prstGeom>
        <a:solidFill>
          <a:schemeClr val="accent6">
            <a:lumMod val="40000"/>
            <a:lumOff val="60000"/>
          </a:schemeClr>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Add Schedule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Z40"/>
  <sheetViews>
    <sheetView showGridLines="0" zoomScaleNormal="100" workbookViewId="0">
      <pane xSplit="10" topLeftCell="K1" activePane="topRight" state="frozen"/>
      <selection pane="topRight" activeCell="N18" sqref="N18"/>
    </sheetView>
  </sheetViews>
  <sheetFormatPr baseColWidth="10" defaultColWidth="8.83203125" defaultRowHeight="15" outlineLevelRow="1" x14ac:dyDescent="0.2"/>
  <cols>
    <col min="1" max="1" width="3.33203125" customWidth="1"/>
    <col min="2" max="2" width="4.6640625" customWidth="1"/>
    <col min="3" max="3" width="18.1640625" customWidth="1"/>
    <col min="4" max="10" width="3.6640625" customWidth="1"/>
    <col min="12" max="16" width="8.83203125" customWidth="1"/>
    <col min="17" max="17" width="8.33203125" customWidth="1"/>
    <col min="18" max="22" width="8.83203125" customWidth="1"/>
    <col min="24" max="28" width="8.83203125" customWidth="1"/>
  </cols>
  <sheetData>
    <row r="1" spans="1:52" ht="22.25" customHeight="1" x14ac:dyDescent="0.2">
      <c r="B1" s="18"/>
    </row>
    <row r="2" spans="1:52" ht="21.5" customHeight="1" x14ac:dyDescent="0.2">
      <c r="B2" s="27"/>
    </row>
    <row r="3" spans="1:52" x14ac:dyDescent="0.2">
      <c r="A3" s="33" t="s">
        <v>14</v>
      </c>
      <c r="B3" s="33"/>
      <c r="C3" s="33"/>
      <c r="D3" s="33" t="s">
        <v>4</v>
      </c>
      <c r="E3" s="33"/>
      <c r="F3" s="33"/>
      <c r="G3" s="33"/>
      <c r="H3" s="33"/>
      <c r="I3" s="33"/>
      <c r="J3" s="33"/>
      <c r="L3" s="30" t="s">
        <v>3</v>
      </c>
      <c r="M3" s="31"/>
      <c r="N3" s="31"/>
      <c r="O3" s="31"/>
      <c r="P3" s="32"/>
      <c r="R3" s="30" t="s">
        <v>16</v>
      </c>
      <c r="S3" s="31"/>
      <c r="T3" s="31"/>
      <c r="U3" s="31"/>
      <c r="V3" s="32"/>
      <c r="X3" s="30" t="s">
        <v>21</v>
      </c>
      <c r="Y3" s="31"/>
      <c r="Z3" s="31"/>
      <c r="AA3" s="31"/>
      <c r="AB3" s="32"/>
      <c r="AD3" s="30" t="s">
        <v>20</v>
      </c>
      <c r="AE3" s="31"/>
      <c r="AF3" s="31"/>
      <c r="AG3" s="31"/>
      <c r="AH3" s="32"/>
      <c r="AJ3" s="30" t="s">
        <v>19</v>
      </c>
      <c r="AK3" s="31"/>
      <c r="AL3" s="31"/>
      <c r="AM3" s="31"/>
      <c r="AN3" s="32"/>
      <c r="AP3" s="30" t="s">
        <v>18</v>
      </c>
      <c r="AQ3" s="31"/>
      <c r="AR3" s="31"/>
      <c r="AS3" s="31"/>
      <c r="AT3" s="32"/>
      <c r="AV3" s="30" t="s">
        <v>17</v>
      </c>
      <c r="AW3" s="31"/>
      <c r="AX3" s="31"/>
      <c r="AY3" s="31"/>
      <c r="AZ3" s="32"/>
    </row>
    <row r="4" spans="1:52" x14ac:dyDescent="0.2">
      <c r="A4" s="11"/>
      <c r="B4" s="12" t="s">
        <v>2</v>
      </c>
      <c r="C4" s="12" t="s">
        <v>15</v>
      </c>
      <c r="D4" s="12">
        <v>1</v>
      </c>
      <c r="E4" s="12">
        <v>2</v>
      </c>
      <c r="F4" s="12">
        <v>3</v>
      </c>
      <c r="G4" s="12">
        <v>4</v>
      </c>
      <c r="H4" s="12">
        <v>5</v>
      </c>
      <c r="I4" s="12">
        <v>6</v>
      </c>
      <c r="J4" s="12">
        <v>7</v>
      </c>
      <c r="L4" s="14"/>
      <c r="M4" s="15"/>
      <c r="N4" s="15"/>
      <c r="O4" s="15"/>
      <c r="P4" s="16"/>
      <c r="R4" s="14"/>
      <c r="S4" s="15"/>
      <c r="T4" s="15"/>
      <c r="U4" s="15"/>
      <c r="V4" s="16"/>
      <c r="X4" s="14"/>
      <c r="Y4" s="15"/>
      <c r="Z4" s="15"/>
      <c r="AA4" s="15"/>
      <c r="AB4" s="16"/>
      <c r="AD4" s="14"/>
      <c r="AE4" s="15"/>
      <c r="AF4" s="15"/>
      <c r="AG4" s="15"/>
      <c r="AH4" s="16"/>
      <c r="AJ4" s="14"/>
      <c r="AK4" s="15"/>
      <c r="AL4" s="15"/>
      <c r="AM4" s="15"/>
      <c r="AN4" s="16"/>
      <c r="AP4" s="14"/>
      <c r="AQ4" s="15"/>
      <c r="AR4" s="15"/>
      <c r="AS4" s="15"/>
      <c r="AT4" s="16"/>
      <c r="AV4" s="14"/>
      <c r="AW4" s="15"/>
      <c r="AX4" s="15"/>
      <c r="AY4" s="15"/>
      <c r="AZ4" s="16"/>
    </row>
    <row r="5" spans="1:52" x14ac:dyDescent="0.2">
      <c r="A5" s="13">
        <v>1</v>
      </c>
      <c r="B5" s="17" t="str">
        <f>IF(ISBLANK($C5),"-",VLOOKUP($C5,Roster!$B$2:$C$16,2,FALSE))</f>
        <v>-</v>
      </c>
      <c r="C5" s="11"/>
      <c r="D5" s="17" t="str">
        <f>IF(ISBLANK($C5),"-",VLOOKUP($C5,L25:M39,2,FALSE))</f>
        <v>-</v>
      </c>
      <c r="E5" s="17" t="str">
        <f>IF(ISBLANK($C5),"-",VLOOKUP($C5,R25:S39,2,FALSE))</f>
        <v>-</v>
      </c>
      <c r="F5" s="17" t="str">
        <f>IF(ISBLANK($C5),"-",VLOOKUP($C5,X25:Y39,2,FALSE))</f>
        <v>-</v>
      </c>
      <c r="G5" s="17" t="str">
        <f>IF(ISBLANK(C5),"-",VLOOKUP(C5,$AD25:$AE39,2,FALSE))</f>
        <v>-</v>
      </c>
      <c r="H5" s="17" t="str">
        <f>IF(ISBLANK($C5),"-",VLOOKUP($C5,$AJ25:$AK39,2,FALSE))</f>
        <v>-</v>
      </c>
      <c r="I5" s="17" t="str">
        <f>IF(ISBLANK($C5),"-",VLOOKUP($C5,$AP25:$AQ39,2,FALSE))</f>
        <v>-</v>
      </c>
      <c r="J5" s="17" t="str">
        <f>IF(ISBLANK($C5),"-",VLOOKUP($C5,$AV25:$AW39,2,FALSE))</f>
        <v>-</v>
      </c>
      <c r="L5" s="5"/>
      <c r="M5" s="6"/>
      <c r="N5" s="6"/>
      <c r="O5" s="6"/>
      <c r="P5" s="7"/>
      <c r="R5" s="5"/>
      <c r="S5" s="6"/>
      <c r="T5" s="6"/>
      <c r="U5" s="6"/>
      <c r="V5" s="7"/>
      <c r="X5" s="5"/>
      <c r="Y5" s="6"/>
      <c r="Z5" s="6"/>
      <c r="AA5" s="6"/>
      <c r="AB5" s="7"/>
      <c r="AD5" s="5"/>
      <c r="AE5" s="6"/>
      <c r="AF5" s="6"/>
      <c r="AG5" s="6"/>
      <c r="AH5" s="7"/>
      <c r="AJ5" s="5"/>
      <c r="AK5" s="6"/>
      <c r="AL5" s="6"/>
      <c r="AM5" s="6"/>
      <c r="AN5" s="7"/>
      <c r="AP5" s="5"/>
      <c r="AQ5" s="6"/>
      <c r="AR5" s="6"/>
      <c r="AS5" s="6"/>
      <c r="AT5" s="7"/>
      <c r="AV5" s="5"/>
      <c r="AW5" s="6"/>
      <c r="AX5" s="6"/>
      <c r="AY5" s="6"/>
      <c r="AZ5" s="7"/>
    </row>
    <row r="6" spans="1:52" x14ac:dyDescent="0.2">
      <c r="A6" s="13">
        <v>2</v>
      </c>
      <c r="B6" s="17" t="str">
        <f>IF(ISBLANK($C6),"-",VLOOKUP($C6,Roster!$B$2:$C$16,2,FALSE))</f>
        <v>-</v>
      </c>
      <c r="C6" s="11"/>
      <c r="D6" s="17" t="str">
        <f>IF(ISBLANK($C6),"-",VLOOKUP($C6,L25:M39,2,FALSE))</f>
        <v>-</v>
      </c>
      <c r="E6" s="17" t="str">
        <f>IF(ISBLANK($C6),"-",VLOOKUP($C6,R25:S39,2,FALSE))</f>
        <v>-</v>
      </c>
      <c r="F6" s="17" t="str">
        <f>IF(ISBLANK($C6),"-",VLOOKUP($C6,$X$25:$Y$39,2,FALSE))</f>
        <v>-</v>
      </c>
      <c r="G6" s="17" t="str">
        <f>IF(ISBLANK(C6),"-",VLOOKUP(C6,$AD25:$AE39,2,FALSE))</f>
        <v>-</v>
      </c>
      <c r="H6" s="4" t="str">
        <f>IF(ISBLANK($C6),"-",VLOOKUP($C6,$AJ25:$AK39,2,FALSE))</f>
        <v>-</v>
      </c>
      <c r="I6" s="17" t="str">
        <f>IF(ISBLANK($C6),"-",VLOOKUP($C6,$AP25:$AQ39,2,FALSE))</f>
        <v>-</v>
      </c>
      <c r="J6" s="17" t="str">
        <f>IF(ISBLANK($C6),"-",VLOOKUP($C6,$AV25:$AW39,2,FALSE))</f>
        <v>-</v>
      </c>
      <c r="L6" s="5"/>
      <c r="M6" s="6"/>
      <c r="N6" s="6"/>
      <c r="O6" s="6"/>
      <c r="P6" s="7"/>
      <c r="R6" s="5"/>
      <c r="S6" s="6"/>
      <c r="T6" s="6"/>
      <c r="U6" s="6"/>
      <c r="V6" s="7"/>
      <c r="X6" s="5"/>
      <c r="Y6" s="6"/>
      <c r="Z6" s="6"/>
      <c r="AA6" s="6"/>
      <c r="AB6" s="7"/>
      <c r="AD6" s="5"/>
      <c r="AE6" s="6"/>
      <c r="AF6" s="6"/>
      <c r="AG6" s="6"/>
      <c r="AH6" s="7"/>
      <c r="AJ6" s="5"/>
      <c r="AK6" s="6"/>
      <c r="AL6" s="6"/>
      <c r="AM6" s="6"/>
      <c r="AN6" s="7"/>
      <c r="AP6" s="5"/>
      <c r="AQ6" s="6"/>
      <c r="AR6" s="6"/>
      <c r="AS6" s="6"/>
      <c r="AT6" s="7"/>
      <c r="AV6" s="5"/>
      <c r="AW6" s="6"/>
      <c r="AX6" s="6"/>
      <c r="AY6" s="6"/>
      <c r="AZ6" s="7"/>
    </row>
    <row r="7" spans="1:52" x14ac:dyDescent="0.2">
      <c r="A7" s="13">
        <v>3</v>
      </c>
      <c r="B7" s="17" t="str">
        <f>IF(ISBLANK($C7),"-",VLOOKUP($C7,Roster!$B$2:$C$16,2,FALSE))</f>
        <v>-</v>
      </c>
      <c r="C7" s="11"/>
      <c r="D7" s="17" t="str">
        <f>IF(ISBLANK($C7),"-",VLOOKUP($C7,L25:M39,2,FALSE))</f>
        <v>-</v>
      </c>
      <c r="E7" s="17" t="str">
        <f>IF(ISBLANK($C7),"-",VLOOKUP($C7,R25:S39,2,FALSE))</f>
        <v>-</v>
      </c>
      <c r="F7" s="17" t="str">
        <f t="shared" ref="F7:F19" si="0">IF(ISBLANK($C7),"-",VLOOKUP($C7,$X$25:$Y$39,2,FALSE))</f>
        <v>-</v>
      </c>
      <c r="G7" s="17" t="str">
        <f>IF(ISBLANK(C7),"-",VLOOKUP(C7,$AD25:$AE39,2,FALSE))</f>
        <v>-</v>
      </c>
      <c r="H7" s="17" t="str">
        <f>IF(ISBLANK($C7),"-",VLOOKUP($C7,$AJ25:$AK39,2,FALSE))</f>
        <v>-</v>
      </c>
      <c r="I7" s="17" t="str">
        <f>IF(ISBLANK($C7),"-",VLOOKUP($C7,$AP25:$AQ39,2,FALSE))</f>
        <v>-</v>
      </c>
      <c r="J7" s="17" t="str">
        <f>IF(ISBLANK($C7),"-",VLOOKUP($C7,$AV25:$AW39,2,FALSE))</f>
        <v>-</v>
      </c>
      <c r="L7" s="5"/>
      <c r="M7" s="6"/>
      <c r="N7" s="9"/>
      <c r="O7" s="6"/>
      <c r="P7" s="7"/>
      <c r="R7" s="5"/>
      <c r="S7" s="6"/>
      <c r="T7" s="9"/>
      <c r="U7" s="6"/>
      <c r="V7" s="7"/>
      <c r="X7" s="5"/>
      <c r="Y7" s="6"/>
      <c r="Z7" s="9"/>
      <c r="AA7" s="6"/>
      <c r="AB7" s="7"/>
      <c r="AD7" s="5"/>
      <c r="AE7" s="6"/>
      <c r="AF7" s="9"/>
      <c r="AG7" s="6"/>
      <c r="AH7" s="7"/>
      <c r="AJ7" s="5"/>
      <c r="AK7" s="6"/>
      <c r="AL7" s="9"/>
      <c r="AM7" s="6"/>
      <c r="AN7" s="7"/>
      <c r="AP7" s="5"/>
      <c r="AQ7" s="6"/>
      <c r="AR7" s="9"/>
      <c r="AS7" s="6"/>
      <c r="AT7" s="7"/>
      <c r="AV7" s="5"/>
      <c r="AW7" s="6"/>
      <c r="AX7" s="9"/>
      <c r="AY7" s="6"/>
      <c r="AZ7" s="7"/>
    </row>
    <row r="8" spans="1:52" x14ac:dyDescent="0.2">
      <c r="A8" s="13">
        <v>4</v>
      </c>
      <c r="B8" s="17" t="str">
        <f>IF(ISBLANK($C8),"-",VLOOKUP($C8,Roster!$B$2:$C$16,2,FALSE))</f>
        <v>-</v>
      </c>
      <c r="C8" s="11"/>
      <c r="D8" s="17" t="str">
        <f>IF(ISBLANK($C8),"-",VLOOKUP($C8,L25:M39,2,FALSE))</f>
        <v>-</v>
      </c>
      <c r="E8" s="17" t="str">
        <f>IF(ISBLANK($C8),"-",VLOOKUP($C8,R25:S39,2,FALSE))</f>
        <v>-</v>
      </c>
      <c r="F8" s="17" t="str">
        <f t="shared" si="0"/>
        <v>-</v>
      </c>
      <c r="G8" s="17" t="str">
        <f>IF(ISBLANK(C8),"-",VLOOKUP(C8,$AD25:$AE39,2,FALSE))</f>
        <v>-</v>
      </c>
      <c r="H8" s="4" t="str">
        <f>IF(ISBLANK($C8),"-",VLOOKUP($C8,$AJ25:$AK39,2,FALSE))</f>
        <v>-</v>
      </c>
      <c r="I8" s="17" t="str">
        <f>IF(ISBLANK($C8),"-",VLOOKUP($C8,$AP25:$AQ39,2,FALSE))</f>
        <v>-</v>
      </c>
      <c r="J8" s="17" t="str">
        <f>IF(ISBLANK($C8),"-",VLOOKUP($C8,$AV25:$AW39,2,FALSE))</f>
        <v>-</v>
      </c>
      <c r="L8" s="5"/>
      <c r="M8" s="6"/>
      <c r="N8" s="6"/>
      <c r="O8" s="6"/>
      <c r="P8" s="7"/>
      <c r="R8" s="5"/>
      <c r="S8" s="6"/>
      <c r="T8" s="6"/>
      <c r="U8" s="6"/>
      <c r="V8" s="7"/>
      <c r="X8" s="5"/>
      <c r="Y8" s="6"/>
      <c r="Z8" s="6"/>
      <c r="AA8" s="6"/>
      <c r="AB8" s="7"/>
      <c r="AD8" s="5"/>
      <c r="AE8" s="6"/>
      <c r="AF8" s="6"/>
      <c r="AG8" s="6"/>
      <c r="AH8" s="7"/>
      <c r="AJ8" s="5"/>
      <c r="AK8" s="6"/>
      <c r="AL8" s="6"/>
      <c r="AM8" s="6"/>
      <c r="AN8" s="7"/>
      <c r="AP8" s="5"/>
      <c r="AQ8" s="6"/>
      <c r="AR8" s="6"/>
      <c r="AS8" s="6"/>
      <c r="AT8" s="7"/>
      <c r="AV8" s="5"/>
      <c r="AW8" s="6"/>
      <c r="AX8" s="6"/>
      <c r="AY8" s="6"/>
      <c r="AZ8" s="7"/>
    </row>
    <row r="9" spans="1:52" x14ac:dyDescent="0.2">
      <c r="A9" s="13">
        <v>5</v>
      </c>
      <c r="B9" s="17" t="str">
        <f>IF(ISBLANK($C9),"-",VLOOKUP($C9,Roster!$B$2:$C$16,2,FALSE))</f>
        <v>-</v>
      </c>
      <c r="C9" s="11"/>
      <c r="D9" s="17" t="str">
        <f>IF(ISBLANK($C9),"-",VLOOKUP($C9,L25:M39,2,FALSE))</f>
        <v>-</v>
      </c>
      <c r="E9" s="17" t="str">
        <f>IF(ISBLANK($C9),"-",VLOOKUP($C9,R25:S39,2,FALSE))</f>
        <v>-</v>
      </c>
      <c r="F9" s="17" t="str">
        <f t="shared" si="0"/>
        <v>-</v>
      </c>
      <c r="G9" s="17" t="str">
        <f>IF(ISBLANK(C9),"-",VLOOKUP(C9,$AD25:$AE39,2,FALSE))</f>
        <v>-</v>
      </c>
      <c r="H9" s="17" t="str">
        <f>IF(ISBLANK($C9),"-",VLOOKUP($C9,$AJ25:$AK39,2,FALSE))</f>
        <v>-</v>
      </c>
      <c r="I9" s="17" t="str">
        <f>IF(ISBLANK($C9),"-",VLOOKUP($C9,$AP25:$AQ39,2,FALSE))</f>
        <v>-</v>
      </c>
      <c r="J9" s="17" t="str">
        <f>IF(ISBLANK($C9),"-",VLOOKUP($C9,$AV25:$AW39,2,FALSE))</f>
        <v>-</v>
      </c>
      <c r="L9" s="8"/>
      <c r="M9" s="6"/>
      <c r="N9" s="6"/>
      <c r="O9" s="6"/>
      <c r="P9" s="10"/>
      <c r="R9" s="8"/>
      <c r="S9" s="6"/>
      <c r="T9" s="6"/>
      <c r="U9" s="6"/>
      <c r="V9" s="10"/>
      <c r="X9" s="8"/>
      <c r="Y9" s="6"/>
      <c r="Z9" s="6"/>
      <c r="AA9" s="6"/>
      <c r="AB9" s="10"/>
      <c r="AD9" s="8"/>
      <c r="AE9" s="6"/>
      <c r="AF9" s="6"/>
      <c r="AG9" s="6"/>
      <c r="AH9" s="10"/>
      <c r="AJ9" s="8"/>
      <c r="AK9" s="6"/>
      <c r="AL9" s="6"/>
      <c r="AM9" s="6"/>
      <c r="AN9" s="10"/>
      <c r="AP9" s="8"/>
      <c r="AQ9" s="6"/>
      <c r="AR9" s="6"/>
      <c r="AS9" s="6"/>
      <c r="AT9" s="10"/>
      <c r="AV9" s="8"/>
      <c r="AW9" s="6"/>
      <c r="AX9" s="6"/>
      <c r="AY9" s="6"/>
      <c r="AZ9" s="10"/>
    </row>
    <row r="10" spans="1:52" x14ac:dyDescent="0.2">
      <c r="A10" s="13">
        <v>6</v>
      </c>
      <c r="B10" s="17" t="str">
        <f>IF(ISBLANK($C10),"-",VLOOKUP($C10,Roster!$B$2:$C$16,2,FALSE))</f>
        <v>-</v>
      </c>
      <c r="C10" s="11"/>
      <c r="D10" s="17" t="str">
        <f>IF(ISBLANK($C10),"-",VLOOKUP($C10,L25:M39,2,FALSE))</f>
        <v>-</v>
      </c>
      <c r="E10" s="17" t="str">
        <f>IF(ISBLANK($C10),"-",VLOOKUP($C10,R25:S39,2,FALSE))</f>
        <v>-</v>
      </c>
      <c r="F10" s="17" t="str">
        <f t="shared" si="0"/>
        <v>-</v>
      </c>
      <c r="G10" s="17" t="str">
        <f>IF(ISBLANK(C10),"-",VLOOKUP(C10,$AD25:$AE39,2,FALSE))</f>
        <v>-</v>
      </c>
      <c r="H10" s="17" t="str">
        <f>IF(ISBLANK($C10),"-",VLOOKUP($C10,$AJ25:$AK39,2,FALSE))</f>
        <v>-</v>
      </c>
      <c r="I10" s="17" t="str">
        <f>IF(ISBLANK($C10),"-",VLOOKUP($C10,$AP25:$AQ39,2,FALSE))</f>
        <v>-</v>
      </c>
      <c r="J10" s="17" t="str">
        <f>IF(ISBLANK($C10),"-",VLOOKUP($C10,$AV25:$AW39,2,FALSE))</f>
        <v>-</v>
      </c>
      <c r="L10" s="5"/>
      <c r="M10" s="6"/>
      <c r="N10" s="6"/>
      <c r="O10" s="6"/>
      <c r="P10" s="7"/>
      <c r="R10" s="5"/>
      <c r="S10" s="6"/>
      <c r="T10" s="6"/>
      <c r="U10" s="6"/>
      <c r="V10" s="7"/>
      <c r="X10" s="5"/>
      <c r="Y10" s="6"/>
      <c r="Z10" s="6"/>
      <c r="AA10" s="6"/>
      <c r="AB10" s="7"/>
      <c r="AD10" s="5"/>
      <c r="AE10" s="6"/>
      <c r="AF10" s="6"/>
      <c r="AG10" s="6"/>
      <c r="AH10" s="7"/>
      <c r="AJ10" s="5"/>
      <c r="AK10" s="6"/>
      <c r="AL10" s="6"/>
      <c r="AM10" s="6"/>
      <c r="AN10" s="7"/>
      <c r="AP10" s="5"/>
      <c r="AQ10" s="6"/>
      <c r="AR10" s="6"/>
      <c r="AS10" s="6"/>
      <c r="AT10" s="7"/>
      <c r="AV10" s="5"/>
      <c r="AW10" s="6"/>
      <c r="AX10" s="6"/>
      <c r="AY10" s="6"/>
      <c r="AZ10" s="7"/>
    </row>
    <row r="11" spans="1:52" x14ac:dyDescent="0.2">
      <c r="A11" s="13">
        <v>7</v>
      </c>
      <c r="B11" s="17" t="str">
        <f>IF(ISBLANK($C11),"-",VLOOKUP($C11,Roster!$B$2:$C$16,2,FALSE))</f>
        <v>-</v>
      </c>
      <c r="C11" s="11"/>
      <c r="D11" s="22" t="str">
        <f>IF(ISBLANK($C11),"-",VLOOKUP($C11,L25:M39,2,FALSE))</f>
        <v>-</v>
      </c>
      <c r="E11" s="17" t="str">
        <f>IF(ISBLANK($C11),"-",VLOOKUP($C11,R25:S39,2,FALSE))</f>
        <v>-</v>
      </c>
      <c r="F11" s="17" t="str">
        <f t="shared" si="0"/>
        <v>-</v>
      </c>
      <c r="G11" s="17" t="str">
        <f>IF(ISBLANK(C11),"-",VLOOKUP(C11,$AD25:$AE39,2,FALSE))</f>
        <v>-</v>
      </c>
      <c r="H11" s="17" t="str">
        <f>IF(ISBLANK($C11),"-",VLOOKUP($C11,$AJ25:$AK39,2,FALSE))</f>
        <v>-</v>
      </c>
      <c r="I11" s="17" t="str">
        <f>IF(ISBLANK($C11),"-",VLOOKUP($C11,$AP25:$AQ39,2,FALSE))</f>
        <v>-</v>
      </c>
      <c r="J11" s="17" t="str">
        <f>IF(ISBLANK($C11),"-",VLOOKUP($C11,$AV25:$AW39,2,FALSE))</f>
        <v>-</v>
      </c>
      <c r="L11" s="5"/>
      <c r="M11" s="9"/>
      <c r="N11" s="6"/>
      <c r="O11" s="9"/>
      <c r="P11" s="7"/>
      <c r="R11" s="5"/>
      <c r="S11" s="9"/>
      <c r="T11" s="6"/>
      <c r="U11" s="9"/>
      <c r="V11" s="7"/>
      <c r="X11" s="5"/>
      <c r="Y11" s="9"/>
      <c r="Z11" s="6"/>
      <c r="AA11" s="9"/>
      <c r="AB11" s="7"/>
      <c r="AD11" s="5"/>
      <c r="AE11" s="9"/>
      <c r="AF11" s="6"/>
      <c r="AG11" s="9"/>
      <c r="AH11" s="7"/>
      <c r="AJ11" s="5"/>
      <c r="AK11" s="9"/>
      <c r="AL11" s="6"/>
      <c r="AM11" s="9"/>
      <c r="AN11" s="7"/>
      <c r="AP11" s="5"/>
      <c r="AQ11" s="9"/>
      <c r="AR11" s="6"/>
      <c r="AS11" s="9"/>
      <c r="AT11" s="7"/>
      <c r="AV11" s="5"/>
      <c r="AW11" s="9"/>
      <c r="AX11" s="6"/>
      <c r="AY11" s="9"/>
      <c r="AZ11" s="7"/>
    </row>
    <row r="12" spans="1:52" x14ac:dyDescent="0.2">
      <c r="A12" s="13">
        <v>8</v>
      </c>
      <c r="B12" s="17" t="str">
        <f>IF(ISBLANK($C12),"-",VLOOKUP($C12,Roster!$B$2:$C$16,2,FALSE))</f>
        <v>-</v>
      </c>
      <c r="C12" s="11"/>
      <c r="D12" s="17" t="str">
        <f>IF(ISBLANK($C12),"-",VLOOKUP($C12,L25:M39,2,FALSE))</f>
        <v>-</v>
      </c>
      <c r="E12" s="17" t="str">
        <f>IF(ISBLANK($C12),"-",VLOOKUP($C12,R25:S39,2,FALSE))</f>
        <v>-</v>
      </c>
      <c r="F12" s="17" t="str">
        <f t="shared" si="0"/>
        <v>-</v>
      </c>
      <c r="G12" s="17" t="str">
        <f>IF(ISBLANK(C12),"-",VLOOKUP(C12,$AD25:$AE39,2,FALSE))</f>
        <v>-</v>
      </c>
      <c r="H12" s="17" t="str">
        <f>IF(ISBLANK($C12),"-",VLOOKUP($C12,$AJ25:$AK39,2,FALSE))</f>
        <v>-</v>
      </c>
      <c r="I12" s="17" t="str">
        <f>IF(ISBLANK($C12),"-",VLOOKUP($C12,$AP25:$AQ39,2,FALSE))</f>
        <v>-</v>
      </c>
      <c r="J12" s="17" t="str">
        <f>IF(ISBLANK($C12),"-",VLOOKUP($C12,$AV25:$AW39,2,FALSE))</f>
        <v>-</v>
      </c>
      <c r="L12" s="5"/>
      <c r="M12" s="6"/>
      <c r="N12" s="6"/>
      <c r="O12" s="6"/>
      <c r="P12" s="7"/>
      <c r="R12" s="5"/>
      <c r="S12" s="6"/>
      <c r="T12" s="6"/>
      <c r="U12" s="6"/>
      <c r="V12" s="7"/>
      <c r="X12" s="5"/>
      <c r="Y12" s="6"/>
      <c r="Z12" s="6"/>
      <c r="AA12" s="6"/>
      <c r="AB12" s="7"/>
      <c r="AD12" s="5"/>
      <c r="AE12" s="6"/>
      <c r="AF12" s="6"/>
      <c r="AG12" s="6"/>
      <c r="AH12" s="7"/>
      <c r="AJ12" s="5"/>
      <c r="AK12" s="6"/>
      <c r="AL12" s="6"/>
      <c r="AM12" s="6"/>
      <c r="AN12" s="7"/>
      <c r="AP12" s="5"/>
      <c r="AQ12" s="6"/>
      <c r="AR12" s="6"/>
      <c r="AS12" s="6"/>
      <c r="AT12" s="7"/>
      <c r="AV12" s="5"/>
      <c r="AW12" s="6"/>
      <c r="AX12" s="6"/>
      <c r="AY12" s="6"/>
      <c r="AZ12" s="7"/>
    </row>
    <row r="13" spans="1:52" x14ac:dyDescent="0.2">
      <c r="A13" s="13">
        <v>9</v>
      </c>
      <c r="B13" s="17" t="str">
        <f>IF(ISBLANK($C13),"-",VLOOKUP($C13,Roster!$B$2:$C$16,2,FALSE))</f>
        <v>-</v>
      </c>
      <c r="C13" s="11"/>
      <c r="D13" s="17" t="str">
        <f>IF(ISBLANK($C13),"-",VLOOKUP($C13,L25:M39,2,FALSE))</f>
        <v>-</v>
      </c>
      <c r="E13" s="17" t="str">
        <f>IF(ISBLANK($C13),"-",VLOOKUP($C13,R25:S39,2,FALSE))</f>
        <v>-</v>
      </c>
      <c r="F13" s="17" t="str">
        <f t="shared" si="0"/>
        <v>-</v>
      </c>
      <c r="G13" s="17" t="str">
        <f>IF(ISBLANK(C13),"-",VLOOKUP(C13,$AD25:$AE39,2,FALSE))</f>
        <v>-</v>
      </c>
      <c r="H13" s="17" t="str">
        <f>IF(ISBLANK($C13),"-",VLOOKUP($C13,$AJ25:$AK39,2,FALSE))</f>
        <v>-</v>
      </c>
      <c r="I13" s="17" t="str">
        <f>IF(ISBLANK($C13),"-",VLOOKUP($C13,$AP25:$AQ39,2,FALSE))</f>
        <v>-</v>
      </c>
      <c r="J13" s="17" t="str">
        <f>IF(ISBLANK($C13),"-",VLOOKUP($C13,$AV25:$AW39,2,FALSE))</f>
        <v>-</v>
      </c>
      <c r="L13" s="5"/>
      <c r="M13" s="9"/>
      <c r="N13" s="6"/>
      <c r="O13" s="9"/>
      <c r="P13" s="7"/>
      <c r="R13" s="5"/>
      <c r="S13" s="9"/>
      <c r="T13" s="6"/>
      <c r="U13" s="9"/>
      <c r="V13" s="7"/>
      <c r="X13" s="5"/>
      <c r="Y13" s="9"/>
      <c r="Z13" s="6"/>
      <c r="AA13" s="9"/>
      <c r="AB13" s="7"/>
      <c r="AD13" s="5"/>
      <c r="AE13" s="9"/>
      <c r="AF13" s="6"/>
      <c r="AG13" s="9"/>
      <c r="AH13" s="7"/>
      <c r="AJ13" s="5"/>
      <c r="AK13" s="9"/>
      <c r="AL13" s="6"/>
      <c r="AM13" s="9"/>
      <c r="AN13" s="7"/>
      <c r="AP13" s="5"/>
      <c r="AQ13" s="9"/>
      <c r="AR13" s="6"/>
      <c r="AS13" s="9"/>
      <c r="AT13" s="7"/>
      <c r="AV13" s="5"/>
      <c r="AW13" s="9"/>
      <c r="AX13" s="6"/>
      <c r="AY13" s="9"/>
      <c r="AZ13" s="7"/>
    </row>
    <row r="14" spans="1:52" x14ac:dyDescent="0.2">
      <c r="A14" s="13">
        <v>10</v>
      </c>
      <c r="B14" s="17" t="str">
        <f>IF(ISBLANK($C14),"-",VLOOKUP($C14,Roster!$B$2:$C$16,2,FALSE))</f>
        <v>-</v>
      </c>
      <c r="C14" s="11"/>
      <c r="D14" s="17" t="str">
        <f>IF(ISBLANK($C14),"-",VLOOKUP($C14,L25:M39,2,FALSE))</f>
        <v>-</v>
      </c>
      <c r="E14" s="17" t="str">
        <f>IF(ISBLANK($C14),"-",VLOOKUP($C14,R25:S39,2,FALSE))</f>
        <v>-</v>
      </c>
      <c r="F14" s="17" t="str">
        <f t="shared" si="0"/>
        <v>-</v>
      </c>
      <c r="G14" s="4" t="str">
        <f>IF(ISBLANK($C14),"-",VLOOKUP($C14,$AD25:$AE39,2,FALSE))</f>
        <v>-</v>
      </c>
      <c r="H14" s="17" t="str">
        <f>IF(ISBLANK($C14),"-",VLOOKUP($C14,$AJ25:$AK39,2,FALSE))</f>
        <v>-</v>
      </c>
      <c r="I14" s="17" t="str">
        <f>IF(ISBLANK($C14),"-",VLOOKUP($C14,$AP25:$AQ39,2,FALSE))</f>
        <v>-</v>
      </c>
      <c r="J14" s="17" t="str">
        <f>IF(ISBLANK($C14),"-",VLOOKUP($C14,$AV25:$AW39,2,FALSE))</f>
        <v>-</v>
      </c>
      <c r="L14" s="5"/>
      <c r="M14" s="6"/>
      <c r="N14" s="9"/>
      <c r="O14" s="6"/>
      <c r="P14" s="7"/>
      <c r="R14" s="5"/>
      <c r="S14" s="6"/>
      <c r="T14" s="9"/>
      <c r="U14" s="6"/>
      <c r="V14" s="7"/>
      <c r="X14" s="5"/>
      <c r="Y14" s="6"/>
      <c r="Z14" s="9"/>
      <c r="AA14" s="6"/>
      <c r="AB14" s="7"/>
      <c r="AD14" s="5"/>
      <c r="AE14" s="6"/>
      <c r="AF14" s="9"/>
      <c r="AG14" s="6"/>
      <c r="AH14" s="7"/>
      <c r="AJ14" s="5"/>
      <c r="AK14" s="6"/>
      <c r="AL14" s="9"/>
      <c r="AM14" s="6"/>
      <c r="AN14" s="7"/>
      <c r="AP14" s="5"/>
      <c r="AQ14" s="6"/>
      <c r="AR14" s="9"/>
      <c r="AS14" s="6"/>
      <c r="AT14" s="7"/>
      <c r="AV14" s="5"/>
      <c r="AW14" s="6"/>
      <c r="AX14" s="9"/>
      <c r="AY14" s="6"/>
      <c r="AZ14" s="7"/>
    </row>
    <row r="15" spans="1:52" x14ac:dyDescent="0.2">
      <c r="A15" s="13">
        <v>11</v>
      </c>
      <c r="B15" s="17" t="str">
        <f>IF(ISBLANK($C15),"-",VLOOKUP($C15,Roster!$B$2:$C$16,2,FALSE))</f>
        <v>-</v>
      </c>
      <c r="C15" s="11"/>
      <c r="D15" s="17" t="str">
        <f>IF(ISBLANK($C15),"-",VLOOKUP($C15,L25:M39,2,FALSE))</f>
        <v>-</v>
      </c>
      <c r="E15" s="17" t="str">
        <f>IF(ISBLANK($C15),"-",VLOOKUP($C15,R25:S39,2,FALSE))</f>
        <v>-</v>
      </c>
      <c r="F15" s="17" t="str">
        <f t="shared" si="0"/>
        <v>-</v>
      </c>
      <c r="G15" s="17" t="str">
        <f>IF(ISBLANK(C15),"-",VLOOKUP(C15,$AD25:$AE39,2,FALSE))</f>
        <v>-</v>
      </c>
      <c r="H15" s="17" t="str">
        <f>IF(ISBLANK($C15),"-",VLOOKUP($C15,$AJ25:$AK39,2,FALSE))</f>
        <v>-</v>
      </c>
      <c r="I15" s="17" t="str">
        <f>IF(ISBLANK($C15),"-",VLOOKUP($C15,$AP25:$AQ39,2,FALSE))</f>
        <v>-</v>
      </c>
      <c r="J15" s="17" t="str">
        <f>IF(ISBLANK($C15),"-",VLOOKUP($C15,$AV25:$AW39,2,FALSE))</f>
        <v>-</v>
      </c>
      <c r="L15" s="5"/>
      <c r="M15" s="6"/>
      <c r="N15" s="6"/>
      <c r="O15" s="6"/>
      <c r="P15" s="7"/>
      <c r="R15" s="5"/>
      <c r="S15" s="6"/>
      <c r="T15" s="6"/>
      <c r="U15" s="6"/>
      <c r="V15" s="7"/>
      <c r="X15" s="5"/>
      <c r="Y15" s="6"/>
      <c r="Z15" s="6"/>
      <c r="AA15" s="6"/>
      <c r="AB15" s="7"/>
      <c r="AD15" s="5"/>
      <c r="AE15" s="6"/>
      <c r="AF15" s="6"/>
      <c r="AG15" s="6"/>
      <c r="AH15" s="7"/>
      <c r="AJ15" s="5"/>
      <c r="AK15" s="6"/>
      <c r="AL15" s="6"/>
      <c r="AM15" s="6"/>
      <c r="AN15" s="7"/>
      <c r="AP15" s="5"/>
      <c r="AQ15" s="6"/>
      <c r="AR15" s="6"/>
      <c r="AS15" s="6"/>
      <c r="AT15" s="7"/>
      <c r="AV15" s="5"/>
      <c r="AW15" s="6"/>
      <c r="AX15" s="6"/>
      <c r="AY15" s="6"/>
      <c r="AZ15" s="7"/>
    </row>
    <row r="16" spans="1:52" x14ac:dyDescent="0.2">
      <c r="A16" s="13">
        <v>12</v>
      </c>
      <c r="B16" s="17" t="str">
        <f>IF(ISBLANK($C16),"-",VLOOKUP($C16,Roster!$B$2:$C$16,2,FALSE))</f>
        <v>-</v>
      </c>
      <c r="C16" s="11"/>
      <c r="D16" s="17" t="str">
        <f>IF(ISBLANK($C16),"-",VLOOKUP($C16,L25:M39,2,FALSE))</f>
        <v>-</v>
      </c>
      <c r="E16" s="17" t="str">
        <f>IF(ISBLANK($C16),"-",VLOOKUP($C16,R25:S39,2,FALSE))</f>
        <v>-</v>
      </c>
      <c r="F16" s="17" t="str">
        <f t="shared" si="0"/>
        <v>-</v>
      </c>
      <c r="G16" s="17" t="str">
        <f>IF(ISBLANK(C16),"-",VLOOKUP(C16,$AD25:$AE39,2,FALSE))</f>
        <v>-</v>
      </c>
      <c r="H16" s="17" t="str">
        <f>IF(ISBLANK($C16),"-",VLOOKUP($C16,$AJ25:$AK39,2,FALSE))</f>
        <v>-</v>
      </c>
      <c r="I16" s="17" t="str">
        <f>IF(ISBLANK($C16),"-",VLOOKUP($C16,$AP25:$AQ39,2,FALSE))</f>
        <v>-</v>
      </c>
      <c r="J16" s="17" t="str">
        <f>IF(ISBLANK($C16),"-",VLOOKUP($C16,$AV25:$AW39,2,FALSE))</f>
        <v>-</v>
      </c>
      <c r="L16" s="8"/>
      <c r="M16" s="6"/>
      <c r="N16" s="6"/>
      <c r="O16" s="6"/>
      <c r="P16" s="10"/>
      <c r="R16" s="8"/>
      <c r="S16" s="6"/>
      <c r="T16" s="6"/>
      <c r="U16" s="6"/>
      <c r="V16" s="10"/>
      <c r="X16" s="8"/>
      <c r="Y16" s="6"/>
      <c r="Z16" s="6"/>
      <c r="AA16" s="6"/>
      <c r="AB16" s="10"/>
      <c r="AD16" s="8"/>
      <c r="AE16" s="6"/>
      <c r="AF16" s="6"/>
      <c r="AG16" s="6"/>
      <c r="AH16" s="10"/>
      <c r="AJ16" s="8"/>
      <c r="AK16" s="6"/>
      <c r="AL16" s="6"/>
      <c r="AM16" s="6"/>
      <c r="AN16" s="10"/>
      <c r="AP16" s="8"/>
      <c r="AQ16" s="6"/>
      <c r="AR16" s="6"/>
      <c r="AS16" s="6"/>
      <c r="AT16" s="10"/>
      <c r="AV16" s="8"/>
      <c r="AW16" s="6"/>
      <c r="AX16" s="6"/>
      <c r="AY16" s="6"/>
      <c r="AZ16" s="10"/>
    </row>
    <row r="17" spans="1:52" x14ac:dyDescent="0.2">
      <c r="A17" s="13">
        <v>13</v>
      </c>
      <c r="B17" s="17" t="str">
        <f>IF(ISBLANK($C17),"-",VLOOKUP($C17,Roster!$B$2:$C$16,2,FALSE))</f>
        <v>-</v>
      </c>
      <c r="C17" s="11"/>
      <c r="D17" s="17" t="str">
        <f>IF(ISBLANK($C17),"-",VLOOKUP($C17,L25:M39,2,FALSE))</f>
        <v>-</v>
      </c>
      <c r="E17" s="17" t="str">
        <f>IF(ISBLANK($C17),"-",VLOOKUP($C17,R25:S39,2,FALSE))</f>
        <v>-</v>
      </c>
      <c r="F17" s="17" t="str">
        <f t="shared" si="0"/>
        <v>-</v>
      </c>
      <c r="G17" s="17" t="str">
        <f>IF(ISBLANK(C17),"-",VLOOKUP(C17,$AD25:$AE39,2,FALSE))</f>
        <v>-</v>
      </c>
      <c r="H17" s="17" t="str">
        <f>IF(ISBLANK($C17),"-",VLOOKUP($C17,$AJ25:$AK39,2,FALSE))</f>
        <v>-</v>
      </c>
      <c r="I17" s="17" t="str">
        <f>IF(ISBLANK($C17),"-",VLOOKUP($C17,$AP25:$AQ39,2,FALSE))</f>
        <v>-</v>
      </c>
      <c r="J17" s="4" t="str">
        <f>IF(ISBLANK($C17),"-",VLOOKUP($C17,$AV25:$AW39,2,FALSE))</f>
        <v>-</v>
      </c>
      <c r="L17" s="19"/>
      <c r="M17" s="6"/>
      <c r="N17" s="6"/>
      <c r="O17" s="6"/>
      <c r="P17" s="21"/>
      <c r="R17" s="19"/>
      <c r="S17" s="6"/>
      <c r="T17" s="6"/>
      <c r="U17" s="6"/>
      <c r="V17" s="21"/>
      <c r="X17" s="19"/>
      <c r="Y17" s="6"/>
      <c r="Z17" s="6"/>
      <c r="AA17" s="6"/>
      <c r="AB17" s="21"/>
      <c r="AD17" s="19"/>
      <c r="AE17" s="6"/>
      <c r="AF17" s="6"/>
      <c r="AG17" s="6"/>
      <c r="AH17" s="21"/>
      <c r="AJ17" s="19"/>
      <c r="AK17" s="6"/>
      <c r="AL17" s="6"/>
      <c r="AM17" s="6"/>
      <c r="AN17" s="21"/>
      <c r="AP17" s="19"/>
      <c r="AQ17" s="6"/>
      <c r="AR17" s="6"/>
      <c r="AS17" s="6"/>
      <c r="AT17" s="21"/>
      <c r="AV17" s="19"/>
      <c r="AW17" s="6"/>
      <c r="AX17" s="6"/>
      <c r="AY17" s="6"/>
      <c r="AZ17" s="21"/>
    </row>
    <row r="18" spans="1:52" x14ac:dyDescent="0.2">
      <c r="A18" s="13">
        <v>14</v>
      </c>
      <c r="B18" s="17" t="str">
        <f>IF(ISBLANK($C18),"-",VLOOKUP($C18,Roster!$B$2:$C$16,2,FALSE))</f>
        <v>-</v>
      </c>
      <c r="C18" s="11"/>
      <c r="D18" s="17" t="str">
        <f>IF(ISBLANK($C18),"-",VLOOKUP($C18,L25:M39,2,FALSE))</f>
        <v>-</v>
      </c>
      <c r="E18" s="17" t="str">
        <f>IF(ISBLANK($C18),"-",VLOOKUP($C18,R25:S39,2,FALSE))</f>
        <v>-</v>
      </c>
      <c r="F18" s="17" t="str">
        <f t="shared" si="0"/>
        <v>-</v>
      </c>
      <c r="G18" s="17" t="str">
        <f>IF(ISBLANK(C18),"-",VLOOKUP(C18,$AD25:$AE39,2,FALSE))</f>
        <v>-</v>
      </c>
      <c r="H18" s="17" t="str">
        <f>IF(ISBLANK($C18),"-",VLOOKUP($C18,$AJ25:$AK39,2,FALSE))</f>
        <v>-</v>
      </c>
      <c r="I18" s="17" t="str">
        <f>IF(ISBLANK($C18),"-",VLOOKUP($C18,$AP25:$AQ39,2,FALSE))</f>
        <v>-</v>
      </c>
      <c r="J18" s="17" t="str">
        <f>IF(ISBLANK($C18),"-",VLOOKUP($C18,$AV25:$AW39,2,FALSE))</f>
        <v>-</v>
      </c>
      <c r="L18" s="19"/>
      <c r="M18" s="6"/>
      <c r="N18" s="9"/>
      <c r="O18" s="6"/>
      <c r="P18" s="21"/>
      <c r="R18" s="19"/>
      <c r="S18" s="6"/>
      <c r="T18" s="9"/>
      <c r="U18" s="6"/>
      <c r="V18" s="21"/>
      <c r="X18" s="19"/>
      <c r="Y18" s="6"/>
      <c r="Z18" s="9"/>
      <c r="AA18" s="6"/>
      <c r="AB18" s="21"/>
      <c r="AD18" s="19"/>
      <c r="AE18" s="6"/>
      <c r="AF18" s="9"/>
      <c r="AG18" s="6"/>
      <c r="AH18" s="21"/>
      <c r="AJ18" s="19"/>
      <c r="AK18" s="6"/>
      <c r="AL18" s="9"/>
      <c r="AM18" s="6"/>
      <c r="AN18" s="21"/>
      <c r="AP18" s="19"/>
      <c r="AQ18" s="6"/>
      <c r="AR18" s="9"/>
      <c r="AS18" s="6"/>
      <c r="AT18" s="21"/>
      <c r="AV18" s="19"/>
      <c r="AW18" s="6"/>
      <c r="AX18" s="9"/>
      <c r="AY18" s="6"/>
      <c r="AZ18" s="21"/>
    </row>
    <row r="19" spans="1:52" x14ac:dyDescent="0.2">
      <c r="A19" s="13">
        <v>15</v>
      </c>
      <c r="B19" s="17" t="str">
        <f>IF(ISBLANK($C19),"-",VLOOKUP($C19,Roster!$B$2:$C$16,2,FALSE))</f>
        <v>-</v>
      </c>
      <c r="C19" s="11"/>
      <c r="D19" s="17" t="str">
        <f>IF(ISBLANK($C19),"-",VLOOKUP($C19,L25:M39,2,FALSE))</f>
        <v>-</v>
      </c>
      <c r="E19" s="17" t="str">
        <f>IF(ISBLANK($C19),"-",VLOOKUP($C19,R25:S39,2,FALSE))</f>
        <v>-</v>
      </c>
      <c r="F19" s="17" t="str">
        <f t="shared" si="0"/>
        <v>-</v>
      </c>
      <c r="G19" s="17" t="str">
        <f>IF(ISBLANK(C19),"-",VLOOKUP(C19,$AD25:$AE39,2,FALSE))</f>
        <v>-</v>
      </c>
      <c r="H19" s="17" t="str">
        <f>IF(ISBLANK($C19),"-",VLOOKUP($C19,$AJ25:$AK39,2,FALSE))</f>
        <v>-</v>
      </c>
      <c r="I19" s="17" t="str">
        <f>IF(ISBLANK($C19),"-",VLOOKUP($C19,$AP25:$AQ39,2,FALSE))</f>
        <v>-</v>
      </c>
      <c r="J19" s="17" t="str">
        <f>IF(ISBLANK($C19),"-",VLOOKUP($C19,$AV25:$AW39,2,FALSE))</f>
        <v>-</v>
      </c>
      <c r="L19" s="8"/>
      <c r="M19" s="9"/>
      <c r="N19" s="9"/>
      <c r="O19" s="9"/>
      <c r="P19" s="10"/>
      <c r="R19" s="8"/>
      <c r="S19" s="9"/>
      <c r="T19" s="9"/>
      <c r="U19" s="9"/>
      <c r="V19" s="10"/>
      <c r="X19" s="8"/>
      <c r="Y19" s="9"/>
      <c r="Z19" s="9"/>
      <c r="AA19" s="9"/>
      <c r="AB19" s="10"/>
      <c r="AD19" s="8"/>
      <c r="AE19" s="9"/>
      <c r="AF19" s="9"/>
      <c r="AG19" s="9"/>
      <c r="AH19" s="10"/>
      <c r="AJ19" s="8"/>
      <c r="AK19" s="9"/>
      <c r="AL19" s="9"/>
      <c r="AM19" s="9"/>
      <c r="AN19" s="10"/>
      <c r="AP19" s="8"/>
      <c r="AQ19" s="9"/>
      <c r="AR19" s="9"/>
      <c r="AS19" s="9"/>
      <c r="AT19" s="10"/>
      <c r="AV19" s="8"/>
      <c r="AW19" s="9"/>
      <c r="AX19" s="9"/>
      <c r="AY19" s="9"/>
      <c r="AZ19" s="10"/>
    </row>
    <row r="25" spans="1:52" hidden="1" outlineLevel="1" x14ac:dyDescent="0.2">
      <c r="C25" t="s">
        <v>22</v>
      </c>
      <c r="L25">
        <f>I1_P</f>
        <v>0</v>
      </c>
      <c r="M25" t="s">
        <v>12</v>
      </c>
      <c r="R25">
        <f>I2_P</f>
        <v>0</v>
      </c>
      <c r="S25" t="s">
        <v>12</v>
      </c>
      <c r="X25">
        <f>I3_P</f>
        <v>0</v>
      </c>
      <c r="Y25" t="s">
        <v>12</v>
      </c>
      <c r="AD25">
        <f>I4_P</f>
        <v>0</v>
      </c>
      <c r="AE25" t="s">
        <v>12</v>
      </c>
      <c r="AJ25">
        <f>I5_P</f>
        <v>0</v>
      </c>
      <c r="AK25" t="s">
        <v>12</v>
      </c>
      <c r="AP25">
        <f>I6_P</f>
        <v>0</v>
      </c>
      <c r="AQ25" t="s">
        <v>12</v>
      </c>
      <c r="AV25">
        <f>I7_P</f>
        <v>0</v>
      </c>
      <c r="AW25" t="s">
        <v>12</v>
      </c>
    </row>
    <row r="26" spans="1:52" hidden="1" outlineLevel="1" x14ac:dyDescent="0.2">
      <c r="C26" t="s">
        <v>23</v>
      </c>
      <c r="L26">
        <f>I1_C</f>
        <v>0</v>
      </c>
      <c r="M26" t="s">
        <v>13</v>
      </c>
      <c r="R26">
        <f>I2_C</f>
        <v>0</v>
      </c>
      <c r="S26" t="s">
        <v>13</v>
      </c>
      <c r="X26">
        <f>I3_C</f>
        <v>0</v>
      </c>
      <c r="Y26" t="s">
        <v>13</v>
      </c>
      <c r="AD26">
        <f>I4_C</f>
        <v>0</v>
      </c>
      <c r="AE26" t="s">
        <v>13</v>
      </c>
      <c r="AJ26">
        <f>I5_C</f>
        <v>0</v>
      </c>
      <c r="AK26" t="s">
        <v>13</v>
      </c>
      <c r="AP26">
        <f>I6_C</f>
        <v>0</v>
      </c>
      <c r="AQ26" t="s">
        <v>13</v>
      </c>
      <c r="AV26">
        <f>I7_C</f>
        <v>0</v>
      </c>
      <c r="AW26" t="s">
        <v>13</v>
      </c>
    </row>
    <row r="27" spans="1:52" hidden="1" outlineLevel="1" x14ac:dyDescent="0.2">
      <c r="L27">
        <f>I1_1B</f>
        <v>0</v>
      </c>
      <c r="M27" t="s">
        <v>8</v>
      </c>
      <c r="R27">
        <f>I2_1B</f>
        <v>0</v>
      </c>
      <c r="S27" t="s">
        <v>8</v>
      </c>
      <c r="X27">
        <f>I3_1B</f>
        <v>0</v>
      </c>
      <c r="Y27" t="s">
        <v>8</v>
      </c>
      <c r="AD27">
        <f>I4_1B</f>
        <v>0</v>
      </c>
      <c r="AE27" t="s">
        <v>8</v>
      </c>
      <c r="AJ27">
        <f>I5_1B</f>
        <v>0</v>
      </c>
      <c r="AK27" t="s">
        <v>8</v>
      </c>
      <c r="AP27">
        <f>I6_1B</f>
        <v>0</v>
      </c>
      <c r="AQ27" t="s">
        <v>8</v>
      </c>
      <c r="AV27">
        <f>I7_1B</f>
        <v>0</v>
      </c>
      <c r="AW27" t="s">
        <v>8</v>
      </c>
    </row>
    <row r="28" spans="1:52" hidden="1" outlineLevel="1" x14ac:dyDescent="0.2">
      <c r="L28">
        <f>I1_2B</f>
        <v>0</v>
      </c>
      <c r="M28" t="s">
        <v>9</v>
      </c>
      <c r="R28">
        <f>I2_2B</f>
        <v>0</v>
      </c>
      <c r="S28" t="s">
        <v>9</v>
      </c>
      <c r="X28">
        <f>I3_2B</f>
        <v>0</v>
      </c>
      <c r="Y28" t="s">
        <v>9</v>
      </c>
      <c r="AD28">
        <f>I4_2B</f>
        <v>0</v>
      </c>
      <c r="AE28" t="s">
        <v>9</v>
      </c>
      <c r="AJ28">
        <f>I5_2B</f>
        <v>0</v>
      </c>
      <c r="AK28" t="s">
        <v>9</v>
      </c>
      <c r="AP28">
        <f>I6_2B</f>
        <v>0</v>
      </c>
      <c r="AQ28" t="s">
        <v>9</v>
      </c>
      <c r="AV28">
        <f>I7_2B</f>
        <v>0</v>
      </c>
      <c r="AW28" t="s">
        <v>9</v>
      </c>
    </row>
    <row r="29" spans="1:52" hidden="1" outlineLevel="1" x14ac:dyDescent="0.2">
      <c r="L29">
        <f>I1_3B</f>
        <v>0</v>
      </c>
      <c r="M29" t="s">
        <v>10</v>
      </c>
      <c r="R29">
        <f>I2_3B</f>
        <v>0</v>
      </c>
      <c r="S29" t="s">
        <v>10</v>
      </c>
      <c r="X29">
        <f>I3_3B</f>
        <v>0</v>
      </c>
      <c r="Y29" t="s">
        <v>10</v>
      </c>
      <c r="AD29">
        <f>I4_3B</f>
        <v>0</v>
      </c>
      <c r="AE29" t="s">
        <v>10</v>
      </c>
      <c r="AJ29">
        <f>I5_3B</f>
        <v>0</v>
      </c>
      <c r="AK29" t="s">
        <v>10</v>
      </c>
      <c r="AP29">
        <f>I6_3B</f>
        <v>0</v>
      </c>
      <c r="AQ29" t="s">
        <v>10</v>
      </c>
      <c r="AV29">
        <f>I7_3B</f>
        <v>0</v>
      </c>
      <c r="AW29" t="s">
        <v>10</v>
      </c>
    </row>
    <row r="30" spans="1:52" hidden="1" outlineLevel="1" x14ac:dyDescent="0.2">
      <c r="L30">
        <f>I1_SS</f>
        <v>0</v>
      </c>
      <c r="M30" t="s">
        <v>11</v>
      </c>
      <c r="R30">
        <f>I2_SS</f>
        <v>0</v>
      </c>
      <c r="S30" t="s">
        <v>11</v>
      </c>
      <c r="X30">
        <f>I3_SS</f>
        <v>0</v>
      </c>
      <c r="Y30" t="s">
        <v>11</v>
      </c>
      <c r="AD30">
        <f>I4_SS</f>
        <v>0</v>
      </c>
      <c r="AE30" t="s">
        <v>11</v>
      </c>
      <c r="AJ30">
        <f>I5_SS</f>
        <v>0</v>
      </c>
      <c r="AK30" t="s">
        <v>11</v>
      </c>
      <c r="AP30">
        <f>I6_SS</f>
        <v>0</v>
      </c>
      <c r="AQ30" t="s">
        <v>11</v>
      </c>
      <c r="AV30">
        <f>I7_SS</f>
        <v>0</v>
      </c>
      <c r="AW30" t="s">
        <v>11</v>
      </c>
    </row>
    <row r="31" spans="1:52" hidden="1" outlineLevel="1" x14ac:dyDescent="0.2">
      <c r="L31">
        <f>I1_LF</f>
        <v>0</v>
      </c>
      <c r="M31" t="s">
        <v>5</v>
      </c>
      <c r="R31">
        <f>I2_LF</f>
        <v>0</v>
      </c>
      <c r="S31" t="s">
        <v>5</v>
      </c>
      <c r="X31">
        <f>I3_LF</f>
        <v>0</v>
      </c>
      <c r="Y31" t="s">
        <v>5</v>
      </c>
      <c r="AD31">
        <f>I4_LF</f>
        <v>0</v>
      </c>
      <c r="AE31" t="s">
        <v>5</v>
      </c>
      <c r="AJ31">
        <f>I5_LF</f>
        <v>0</v>
      </c>
      <c r="AK31" t="s">
        <v>5</v>
      </c>
      <c r="AP31">
        <f>I6_LF</f>
        <v>0</v>
      </c>
      <c r="AQ31" t="s">
        <v>5</v>
      </c>
      <c r="AV31">
        <f>I7_LF</f>
        <v>0</v>
      </c>
      <c r="AW31" t="s">
        <v>5</v>
      </c>
    </row>
    <row r="32" spans="1:52" hidden="1" outlineLevel="1" x14ac:dyDescent="0.2">
      <c r="L32">
        <f>I1_CF</f>
        <v>0</v>
      </c>
      <c r="M32" t="s">
        <v>7</v>
      </c>
      <c r="R32">
        <f>I2_CF</f>
        <v>0</v>
      </c>
      <c r="S32" t="s">
        <v>7</v>
      </c>
      <c r="X32">
        <f>I3_CF</f>
        <v>0</v>
      </c>
      <c r="Y32" t="s">
        <v>7</v>
      </c>
      <c r="AD32">
        <f>I4_CF</f>
        <v>0</v>
      </c>
      <c r="AE32" t="s">
        <v>7</v>
      </c>
      <c r="AJ32">
        <f>I5_CF</f>
        <v>0</v>
      </c>
      <c r="AK32" t="s">
        <v>7</v>
      </c>
      <c r="AP32">
        <f>I6_CF</f>
        <v>0</v>
      </c>
      <c r="AQ32" t="s">
        <v>7</v>
      </c>
      <c r="AV32">
        <f>I7_CF</f>
        <v>0</v>
      </c>
      <c r="AW32" t="s">
        <v>7</v>
      </c>
    </row>
    <row r="33" spans="12:49" hidden="1" outlineLevel="1" x14ac:dyDescent="0.2">
      <c r="L33">
        <f>I1_RF</f>
        <v>0</v>
      </c>
      <c r="M33" t="s">
        <v>6</v>
      </c>
      <c r="R33">
        <f>I2_RF</f>
        <v>0</v>
      </c>
      <c r="S33" t="s">
        <v>6</v>
      </c>
      <c r="X33">
        <f>I3_RF</f>
        <v>0</v>
      </c>
      <c r="Y33" t="s">
        <v>6</v>
      </c>
      <c r="AD33">
        <f>I4_RF</f>
        <v>0</v>
      </c>
      <c r="AE33" t="s">
        <v>6</v>
      </c>
      <c r="AJ33">
        <f>I5_RF</f>
        <v>0</v>
      </c>
      <c r="AK33" t="s">
        <v>6</v>
      </c>
      <c r="AP33">
        <f>I6_RF</f>
        <v>0</v>
      </c>
      <c r="AQ33" t="s">
        <v>6</v>
      </c>
      <c r="AV33">
        <f>I7_RF</f>
        <v>0</v>
      </c>
      <c r="AW33" t="s">
        <v>6</v>
      </c>
    </row>
    <row r="34" spans="12:49" hidden="1" outlineLevel="1" x14ac:dyDescent="0.2">
      <c r="L34">
        <f>I1_D1</f>
        <v>0</v>
      </c>
      <c r="M34" s="20" t="s">
        <v>24</v>
      </c>
      <c r="R34">
        <f>I2_D1</f>
        <v>0</v>
      </c>
      <c r="S34" s="20" t="s">
        <v>24</v>
      </c>
      <c r="X34">
        <f>I3_D1</f>
        <v>0</v>
      </c>
      <c r="Y34" s="20" t="s">
        <v>24</v>
      </c>
      <c r="AD34">
        <f>I4_D1</f>
        <v>0</v>
      </c>
      <c r="AE34" s="20" t="s">
        <v>24</v>
      </c>
      <c r="AJ34">
        <f>I5_D1</f>
        <v>0</v>
      </c>
      <c r="AK34" s="20" t="s">
        <v>24</v>
      </c>
      <c r="AP34">
        <f>I6_D1</f>
        <v>0</v>
      </c>
      <c r="AQ34" s="20" t="s">
        <v>24</v>
      </c>
      <c r="AV34">
        <f>I7_D1</f>
        <v>0</v>
      </c>
      <c r="AW34" s="20" t="s">
        <v>24</v>
      </c>
    </row>
    <row r="35" spans="12:49" hidden="1" outlineLevel="1" x14ac:dyDescent="0.2">
      <c r="L35">
        <f>I1_D2</f>
        <v>0</v>
      </c>
      <c r="M35" s="20" t="s">
        <v>24</v>
      </c>
      <c r="R35">
        <f>I2_D2</f>
        <v>0</v>
      </c>
      <c r="S35" s="20" t="s">
        <v>24</v>
      </c>
      <c r="X35">
        <f>I3_D2</f>
        <v>0</v>
      </c>
      <c r="Y35" s="20" t="s">
        <v>24</v>
      </c>
      <c r="AD35">
        <f>I4_D2</f>
        <v>0</v>
      </c>
      <c r="AE35" s="20" t="s">
        <v>24</v>
      </c>
      <c r="AJ35">
        <f>I5_D2</f>
        <v>0</v>
      </c>
      <c r="AK35" s="20" t="s">
        <v>24</v>
      </c>
      <c r="AP35">
        <f>I6_D2</f>
        <v>0</v>
      </c>
      <c r="AQ35" s="20" t="s">
        <v>24</v>
      </c>
      <c r="AV35">
        <f>I7_D2</f>
        <v>0</v>
      </c>
      <c r="AW35" s="20" t="s">
        <v>24</v>
      </c>
    </row>
    <row r="36" spans="12:49" hidden="1" outlineLevel="1" x14ac:dyDescent="0.2">
      <c r="L36">
        <f>I1_D3</f>
        <v>0</v>
      </c>
      <c r="M36" s="20" t="s">
        <v>24</v>
      </c>
      <c r="R36">
        <f>I2_D3</f>
        <v>0</v>
      </c>
      <c r="S36" s="20" t="s">
        <v>24</v>
      </c>
      <c r="X36">
        <f>I3_D3</f>
        <v>0</v>
      </c>
      <c r="Y36" s="20" t="s">
        <v>24</v>
      </c>
      <c r="AD36">
        <f>I4_D3</f>
        <v>0</v>
      </c>
      <c r="AE36" s="20" t="s">
        <v>24</v>
      </c>
      <c r="AJ36">
        <f>I5_D3</f>
        <v>0</v>
      </c>
      <c r="AK36" s="20" t="s">
        <v>24</v>
      </c>
      <c r="AP36">
        <f>I6_D3</f>
        <v>0</v>
      </c>
      <c r="AQ36" s="20" t="s">
        <v>24</v>
      </c>
      <c r="AV36">
        <f>I7_D3</f>
        <v>0</v>
      </c>
      <c r="AW36" s="20" t="s">
        <v>24</v>
      </c>
    </row>
    <row r="37" spans="12:49" hidden="1" outlineLevel="1" x14ac:dyDescent="0.2">
      <c r="L37">
        <f>I1_D4</f>
        <v>0</v>
      </c>
      <c r="M37" s="20" t="s">
        <v>24</v>
      </c>
      <c r="R37">
        <f>I2_D4</f>
        <v>0</v>
      </c>
      <c r="S37" s="20" t="s">
        <v>24</v>
      </c>
      <c r="X37">
        <f>I3_D4</f>
        <v>0</v>
      </c>
      <c r="Y37" s="20" t="s">
        <v>24</v>
      </c>
      <c r="AD37">
        <f>I4_D4</f>
        <v>0</v>
      </c>
      <c r="AE37" s="20" t="s">
        <v>24</v>
      </c>
      <c r="AJ37">
        <f>I5_D4</f>
        <v>0</v>
      </c>
      <c r="AK37" s="20" t="s">
        <v>24</v>
      </c>
      <c r="AP37">
        <f>I6_D4</f>
        <v>0</v>
      </c>
      <c r="AQ37" s="20" t="s">
        <v>24</v>
      </c>
      <c r="AV37">
        <f>I7_D4</f>
        <v>0</v>
      </c>
      <c r="AW37" s="20" t="s">
        <v>24</v>
      </c>
    </row>
    <row r="38" spans="12:49" hidden="1" outlineLevel="1" x14ac:dyDescent="0.2">
      <c r="L38">
        <f>I1_D5</f>
        <v>0</v>
      </c>
      <c r="M38" s="20" t="s">
        <v>24</v>
      </c>
      <c r="R38">
        <f>I2_D5</f>
        <v>0</v>
      </c>
      <c r="S38" s="20" t="s">
        <v>24</v>
      </c>
      <c r="X38">
        <f>I3_D5</f>
        <v>0</v>
      </c>
      <c r="Y38" s="20" t="s">
        <v>24</v>
      </c>
      <c r="AD38">
        <f>I4_D5</f>
        <v>0</v>
      </c>
      <c r="AE38" s="20" t="s">
        <v>24</v>
      </c>
      <c r="AJ38">
        <f>I5_D5</f>
        <v>0</v>
      </c>
      <c r="AK38" s="20" t="s">
        <v>24</v>
      </c>
      <c r="AP38">
        <f>I6_D5</f>
        <v>0</v>
      </c>
      <c r="AQ38" s="20" t="s">
        <v>24</v>
      </c>
      <c r="AV38">
        <f>I7_D5</f>
        <v>0</v>
      </c>
      <c r="AW38" s="20" t="s">
        <v>24</v>
      </c>
    </row>
    <row r="39" spans="12:49" hidden="1" outlineLevel="1" x14ac:dyDescent="0.2">
      <c r="L39">
        <f>I1_D6</f>
        <v>0</v>
      </c>
      <c r="M39" s="20" t="s">
        <v>24</v>
      </c>
      <c r="R39">
        <f>I2_D6</f>
        <v>0</v>
      </c>
      <c r="S39" s="20" t="s">
        <v>24</v>
      </c>
      <c r="X39">
        <f>I3_D6</f>
        <v>0</v>
      </c>
      <c r="Y39" s="20" t="s">
        <v>24</v>
      </c>
      <c r="AD39">
        <f>I4_D6</f>
        <v>0</v>
      </c>
      <c r="AE39" s="20" t="s">
        <v>24</v>
      </c>
      <c r="AJ39">
        <f>I5_D6</f>
        <v>0</v>
      </c>
      <c r="AK39" s="20" t="s">
        <v>24</v>
      </c>
      <c r="AP39">
        <f>I6_D6</f>
        <v>0</v>
      </c>
      <c r="AQ39" s="20" t="s">
        <v>24</v>
      </c>
      <c r="AV39">
        <f>I7_D6</f>
        <v>0</v>
      </c>
      <c r="AW39" s="20" t="s">
        <v>24</v>
      </c>
    </row>
    <row r="40" spans="12:49" collapsed="1" x14ac:dyDescent="0.2"/>
  </sheetData>
  <mergeCells count="9">
    <mergeCell ref="AJ3:AN3"/>
    <mergeCell ref="AP3:AT3"/>
    <mergeCell ref="AV3:AZ3"/>
    <mergeCell ref="D3:J3"/>
    <mergeCell ref="A3:C3"/>
    <mergeCell ref="L3:P3"/>
    <mergeCell ref="R3:V3"/>
    <mergeCell ref="X3:AB3"/>
    <mergeCell ref="AD3:AH3"/>
  </mergeCells>
  <conditionalFormatting sqref="C5:C19">
    <cfRule type="duplicateValues" dxfId="48" priority="20"/>
    <cfRule type="duplicateValues" dxfId="47" priority="24"/>
  </conditionalFormatting>
  <conditionalFormatting sqref="C15">
    <cfRule type="duplicateValues" dxfId="46" priority="23"/>
  </conditionalFormatting>
  <conditionalFormatting sqref="C12">
    <cfRule type="duplicateValues" dxfId="45" priority="22"/>
  </conditionalFormatting>
  <conditionalFormatting sqref="C14">
    <cfRule type="duplicateValues" dxfId="44" priority="21"/>
  </conditionalFormatting>
  <conditionalFormatting sqref="D12:E19 E11 D5:J5 D7:E10 G7:J7 D6:G6 I6:J6 G9:J13 G8 I8:J8 G15:J16 H14:J14 G18:J19 G17:I17">
    <cfRule type="containsText" dxfId="43" priority="18" operator="containsText" text="#">
      <formula>NOT(ISERROR(SEARCH("#",D5)))</formula>
    </cfRule>
    <cfRule type="cellIs" dxfId="42" priority="19" operator="equal">
      <formula>"###"</formula>
    </cfRule>
  </conditionalFormatting>
  <conditionalFormatting sqref="F7:F19">
    <cfRule type="containsText" dxfId="41" priority="8" operator="containsText" text="#">
      <formula>NOT(ISERROR(SEARCH("#",F7)))</formula>
    </cfRule>
    <cfRule type="cellIs" dxfId="40" priority="9" operator="equal">
      <formula>"###"</formula>
    </cfRule>
  </conditionalFormatting>
  <conditionalFormatting sqref="L4:P18">
    <cfRule type="duplicateValues" dxfId="39" priority="7"/>
  </conditionalFormatting>
  <conditionalFormatting sqref="R4:V19">
    <cfRule type="duplicateValues" dxfId="38" priority="6"/>
  </conditionalFormatting>
  <conditionalFormatting sqref="X4:AB19">
    <cfRule type="duplicateValues" dxfId="37" priority="5"/>
  </conditionalFormatting>
  <conditionalFormatting sqref="AD4:AH19">
    <cfRule type="duplicateValues" dxfId="36" priority="4"/>
  </conditionalFormatting>
  <conditionalFormatting sqref="AJ4:AN19">
    <cfRule type="duplicateValues" dxfId="35" priority="3"/>
  </conditionalFormatting>
  <conditionalFormatting sqref="AP4:AT19">
    <cfRule type="duplicateValues" dxfId="34" priority="2"/>
  </conditionalFormatting>
  <conditionalFormatting sqref="AV4:AZ19">
    <cfRule type="duplicateValues" dxfId="33" priority="1"/>
  </conditionalFormatting>
  <dataValidations count="1">
    <dataValidation type="list" allowBlank="1" showInputMessage="1" showErrorMessage="1" sqref="N18 N14 O13 O11 M13 M11 L9 N7 P9 L16:L18 P16:P18 R16:R18 V16:V18 X16:X18 AB16:AB18 AB9 AA13 AA11 Z18 Z14 Z7 Y13 Y11 X9 T14 T18 T7 S13 S11 R9 U11 V9 U13 AF18 AF14 AG13 AG11 AE13 AE11 AD9 AF7 AH9 AL18 AL14 AM13 AM11 AK13 AK11 AJ9 AL7 AN9 AD16:AD18 AH16:AH18 AJ16:AJ18 AN16:AN18 AP16:AP18 AR18 AT16:AT18 AR14 AS13 AS11 AQ13 AQ11 AP9 AR7 AT9 AV16:AV18 AX18 AZ16:AZ18 AX14 AY13 AY11 AW13 AW11 AV9 AX7 AZ9" xr:uid="{00000000-0002-0000-0000-000000000000}">
      <formula1>$C$5:$C$19</formula1>
    </dataValidation>
  </dataValidations>
  <pageMargins left="0.7" right="0.7" top="0.75" bottom="0.75" header="0.3" footer="0.3"/>
  <pageSetup orientation="portrait" r:id="rId1"/>
  <headerFooter>
    <oddFooter>&amp;R_x000D_&amp;1#&amp;"Calibri"&amp;10&amp;KFF0000 Public</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Roster!$B$2:$B$16</xm:f>
          </x14:formula1>
          <xm:sqref>C5:C19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68"/>
  <sheetViews>
    <sheetView tabSelected="1" topLeftCell="A15" zoomScaleNormal="100" workbookViewId="0">
      <selection activeCell="B3" sqref="B3"/>
    </sheetView>
  </sheetViews>
  <sheetFormatPr baseColWidth="10" defaultColWidth="8.83203125" defaultRowHeight="15" x14ac:dyDescent="0.2"/>
  <cols>
    <col min="1" max="1" width="4.5" customWidth="1"/>
    <col min="2" max="2" width="19.6640625" customWidth="1"/>
    <col min="3" max="9" width="3.6640625" customWidth="1"/>
    <col min="10" max="11" width="10.6640625" customWidth="1"/>
    <col min="12" max="12" width="4.5" customWidth="1"/>
    <col min="13" max="13" width="19.6640625" customWidth="1"/>
    <col min="14" max="20" width="3.6640625" customWidth="1"/>
  </cols>
  <sheetData>
    <row r="1" spans="1:20" x14ac:dyDescent="0.2">
      <c r="B1" s="29" t="s">
        <v>25</v>
      </c>
      <c r="C1" s="35"/>
      <c r="D1" s="35"/>
      <c r="E1" s="35"/>
      <c r="F1" s="35"/>
      <c r="G1" s="35"/>
      <c r="H1" s="35"/>
      <c r="M1" s="29" t="s">
        <v>25</v>
      </c>
      <c r="N1" s="35"/>
      <c r="O1" s="35"/>
      <c r="P1" s="35"/>
      <c r="Q1" s="35"/>
      <c r="R1" s="35"/>
      <c r="S1" s="35"/>
    </row>
    <row r="2" spans="1:20" x14ac:dyDescent="0.2">
      <c r="B2" s="34"/>
      <c r="C2" s="34"/>
      <c r="D2" s="34"/>
      <c r="E2" s="34"/>
      <c r="F2" s="34"/>
      <c r="G2" s="34"/>
      <c r="H2" s="34"/>
      <c r="M2" s="34"/>
      <c r="N2" s="34"/>
      <c r="O2" s="34"/>
      <c r="P2" s="34"/>
      <c r="Q2" s="34"/>
      <c r="R2" s="34"/>
      <c r="S2" s="34"/>
    </row>
    <row r="3" spans="1:20" ht="15" customHeight="1" x14ac:dyDescent="0.2">
      <c r="A3" s="25" t="s">
        <v>2</v>
      </c>
      <c r="B3" s="25" t="s">
        <v>1</v>
      </c>
      <c r="C3" s="25">
        <v>1</v>
      </c>
      <c r="D3" s="25">
        <v>2</v>
      </c>
      <c r="E3" s="25">
        <v>3</v>
      </c>
      <c r="F3" s="25">
        <v>4</v>
      </c>
      <c r="G3" s="25">
        <v>5</v>
      </c>
      <c r="H3" s="25">
        <v>6</v>
      </c>
      <c r="I3" s="25">
        <v>7</v>
      </c>
      <c r="J3" s="26"/>
      <c r="K3" s="6"/>
      <c r="L3" s="25" t="s">
        <v>2</v>
      </c>
      <c r="M3" s="25" t="s">
        <v>1</v>
      </c>
      <c r="N3" s="25">
        <v>1</v>
      </c>
      <c r="O3" s="25">
        <v>2</v>
      </c>
      <c r="P3" s="25">
        <v>3</v>
      </c>
      <c r="Q3" s="25">
        <v>4</v>
      </c>
      <c r="R3" s="25">
        <v>5</v>
      </c>
      <c r="S3" s="25">
        <v>6</v>
      </c>
      <c r="T3" s="25">
        <v>7</v>
      </c>
    </row>
    <row r="4" spans="1:20" ht="15" customHeight="1" x14ac:dyDescent="0.2">
      <c r="A4" s="23" t="str">
        <f>Gameplan!$B$5</f>
        <v>-</v>
      </c>
      <c r="B4" s="23">
        <f>Gameplan!$C$5</f>
        <v>0</v>
      </c>
      <c r="C4" s="23" t="str">
        <f>Gameplan!$D$5</f>
        <v>-</v>
      </c>
      <c r="D4" s="23" t="str">
        <f>Gameplan!$E$5</f>
        <v>-</v>
      </c>
      <c r="E4" s="23" t="str">
        <f>Gameplan!$F$5</f>
        <v>-</v>
      </c>
      <c r="F4" s="23" t="str">
        <f>Gameplan!$G$5</f>
        <v>-</v>
      </c>
      <c r="G4" s="23" t="str">
        <f>Gameplan!$H$5</f>
        <v>-</v>
      </c>
      <c r="H4" s="23" t="str">
        <f>Gameplan!$I$5</f>
        <v>-</v>
      </c>
      <c r="I4" s="23" t="str">
        <f>Gameplan!$J$5</f>
        <v>-</v>
      </c>
      <c r="J4" s="26"/>
      <c r="K4" s="6"/>
      <c r="L4" s="23" t="str">
        <f>Gameplan!$B$5</f>
        <v>-</v>
      </c>
      <c r="M4" s="23">
        <f>Gameplan!$C$5</f>
        <v>0</v>
      </c>
      <c r="N4" s="23" t="str">
        <f>Gameplan!$D$5</f>
        <v>-</v>
      </c>
      <c r="O4" s="23" t="str">
        <f>Gameplan!$E$5</f>
        <v>-</v>
      </c>
      <c r="P4" s="23" t="str">
        <f>Gameplan!$F$5</f>
        <v>-</v>
      </c>
      <c r="Q4" s="23" t="str">
        <f>Gameplan!$G$5</f>
        <v>-</v>
      </c>
      <c r="R4" s="23" t="str">
        <f>Gameplan!$H$5</f>
        <v>-</v>
      </c>
      <c r="S4" s="23" t="str">
        <f>Gameplan!$I$5</f>
        <v>-</v>
      </c>
      <c r="T4" s="23" t="str">
        <f>Gameplan!$J$5</f>
        <v>-</v>
      </c>
    </row>
    <row r="5" spans="1:20" ht="15" customHeight="1" x14ac:dyDescent="0.2">
      <c r="A5" s="23"/>
      <c r="B5" s="23"/>
      <c r="C5" s="23"/>
      <c r="D5" s="23"/>
      <c r="E5" s="23"/>
      <c r="F5" s="23"/>
      <c r="G5" s="23"/>
      <c r="H5" s="23"/>
      <c r="I5" s="23"/>
      <c r="J5" s="26"/>
      <c r="K5" s="6"/>
      <c r="L5" s="23"/>
      <c r="M5" s="23"/>
      <c r="N5" s="23"/>
      <c r="O5" s="23"/>
      <c r="P5" s="23"/>
      <c r="Q5" s="23"/>
      <c r="R5" s="23"/>
      <c r="S5" s="23"/>
      <c r="T5" s="23"/>
    </row>
    <row r="6" spans="1:20" ht="15" customHeight="1" x14ac:dyDescent="0.2">
      <c r="A6" s="23" t="str">
        <f>Gameplan!$B$6</f>
        <v>-</v>
      </c>
      <c r="B6" s="23">
        <f>Gameplan!$C$6</f>
        <v>0</v>
      </c>
      <c r="C6" s="23" t="str">
        <f>Gameplan!$D$6</f>
        <v>-</v>
      </c>
      <c r="D6" s="23" t="str">
        <f>Gameplan!$E$6</f>
        <v>-</v>
      </c>
      <c r="E6" s="23" t="str">
        <f>Gameplan!$F$6</f>
        <v>-</v>
      </c>
      <c r="F6" s="23" t="str">
        <f>Gameplan!$G$6</f>
        <v>-</v>
      </c>
      <c r="G6" s="23" t="str">
        <f>Gameplan!$H$6</f>
        <v>-</v>
      </c>
      <c r="H6" s="23" t="str">
        <f>Gameplan!$I$6</f>
        <v>-</v>
      </c>
      <c r="I6" s="23" t="str">
        <f>Gameplan!$J$6</f>
        <v>-</v>
      </c>
      <c r="J6" s="26"/>
      <c r="K6" s="6"/>
      <c r="L6" s="23" t="str">
        <f>Gameplan!$B$6</f>
        <v>-</v>
      </c>
      <c r="M6" s="23">
        <f>Gameplan!$C$6</f>
        <v>0</v>
      </c>
      <c r="N6" s="23" t="str">
        <f>Gameplan!$D$6</f>
        <v>-</v>
      </c>
      <c r="O6" s="23" t="str">
        <f>Gameplan!$E$6</f>
        <v>-</v>
      </c>
      <c r="P6" s="23" t="str">
        <f>Gameplan!$F$6</f>
        <v>-</v>
      </c>
      <c r="Q6" s="23" t="str">
        <f>Gameplan!$G$6</f>
        <v>-</v>
      </c>
      <c r="R6" s="23" t="str">
        <f>Gameplan!$H$6</f>
        <v>-</v>
      </c>
      <c r="S6" s="23" t="str">
        <f>Gameplan!$I$6</f>
        <v>-</v>
      </c>
      <c r="T6" s="23" t="str">
        <f>Gameplan!$J$6</f>
        <v>-</v>
      </c>
    </row>
    <row r="7" spans="1:20" ht="15" customHeight="1" x14ac:dyDescent="0.2">
      <c r="A7" s="23"/>
      <c r="B7" s="23"/>
      <c r="C7" s="23"/>
      <c r="D7" s="23"/>
      <c r="E7" s="23"/>
      <c r="F7" s="23"/>
      <c r="G7" s="23"/>
      <c r="H7" s="23"/>
      <c r="I7" s="23"/>
      <c r="J7" s="26"/>
      <c r="K7" s="6"/>
      <c r="L7" s="23"/>
      <c r="M7" s="23"/>
      <c r="N7" s="23"/>
      <c r="O7" s="23"/>
      <c r="P7" s="23"/>
      <c r="Q7" s="23"/>
      <c r="R7" s="23"/>
      <c r="S7" s="23"/>
      <c r="T7" s="23"/>
    </row>
    <row r="8" spans="1:20" ht="15" customHeight="1" x14ac:dyDescent="0.2">
      <c r="A8" s="23" t="str">
        <f>Gameplan!$B$7</f>
        <v>-</v>
      </c>
      <c r="B8" s="23">
        <f>Gameplan!$C$7</f>
        <v>0</v>
      </c>
      <c r="C8" s="23" t="str">
        <f>Gameplan!$D$7</f>
        <v>-</v>
      </c>
      <c r="D8" s="23" t="str">
        <f>Gameplan!$E$7</f>
        <v>-</v>
      </c>
      <c r="E8" s="23" t="str">
        <f>Gameplan!$F$7</f>
        <v>-</v>
      </c>
      <c r="F8" s="23" t="str">
        <f>Gameplan!$G$7</f>
        <v>-</v>
      </c>
      <c r="G8" s="23" t="str">
        <f>Gameplan!$H$7</f>
        <v>-</v>
      </c>
      <c r="H8" s="23" t="str">
        <f>Gameplan!$I$7</f>
        <v>-</v>
      </c>
      <c r="I8" s="23" t="str">
        <f>Gameplan!$J$7</f>
        <v>-</v>
      </c>
      <c r="J8" s="26"/>
      <c r="K8" s="6"/>
      <c r="L8" s="23" t="str">
        <f>Gameplan!$B$7</f>
        <v>-</v>
      </c>
      <c r="M8" s="23">
        <f>Gameplan!$C$7</f>
        <v>0</v>
      </c>
      <c r="N8" s="23" t="str">
        <f>Gameplan!$D$7</f>
        <v>-</v>
      </c>
      <c r="O8" s="23" t="str">
        <f>Gameplan!$E$7</f>
        <v>-</v>
      </c>
      <c r="P8" s="23" t="str">
        <f>Gameplan!$F$7</f>
        <v>-</v>
      </c>
      <c r="Q8" s="23" t="str">
        <f>Gameplan!$G$7</f>
        <v>-</v>
      </c>
      <c r="R8" s="23" t="str">
        <f>Gameplan!$H$7</f>
        <v>-</v>
      </c>
      <c r="S8" s="23" t="str">
        <f>Gameplan!$I$7</f>
        <v>-</v>
      </c>
      <c r="T8" s="23" t="str">
        <f>Gameplan!$J$7</f>
        <v>-</v>
      </c>
    </row>
    <row r="9" spans="1:20" ht="15" customHeight="1" x14ac:dyDescent="0.2">
      <c r="A9" s="23"/>
      <c r="B9" s="23"/>
      <c r="C9" s="23"/>
      <c r="D9" s="23"/>
      <c r="E9" s="23"/>
      <c r="F9" s="23"/>
      <c r="G9" s="23"/>
      <c r="H9" s="23"/>
      <c r="I9" s="23"/>
      <c r="J9" s="26"/>
      <c r="K9" s="6"/>
      <c r="L9" s="23"/>
      <c r="M9" s="23"/>
      <c r="N9" s="23"/>
      <c r="O9" s="23"/>
      <c r="P9" s="23"/>
      <c r="Q9" s="23"/>
      <c r="R9" s="23"/>
      <c r="S9" s="23"/>
      <c r="T9" s="23"/>
    </row>
    <row r="10" spans="1:20" ht="15" customHeight="1" x14ac:dyDescent="0.2">
      <c r="A10" s="23" t="str">
        <f>Gameplan!$B$8</f>
        <v>-</v>
      </c>
      <c r="B10" s="23">
        <f>Gameplan!$C$8</f>
        <v>0</v>
      </c>
      <c r="C10" s="23" t="str">
        <f>Gameplan!$D$8</f>
        <v>-</v>
      </c>
      <c r="D10" s="23" t="str">
        <f>Gameplan!$E$8</f>
        <v>-</v>
      </c>
      <c r="E10" s="23" t="str">
        <f>Gameplan!$F$8</f>
        <v>-</v>
      </c>
      <c r="F10" s="23" t="str">
        <f>Gameplan!$G$8</f>
        <v>-</v>
      </c>
      <c r="G10" s="23" t="str">
        <f>Gameplan!$H$8</f>
        <v>-</v>
      </c>
      <c r="H10" s="23" t="str">
        <f>Gameplan!$I$8</f>
        <v>-</v>
      </c>
      <c r="I10" s="23" t="str">
        <f>Gameplan!$J$8</f>
        <v>-</v>
      </c>
      <c r="J10" s="26"/>
      <c r="K10" s="6"/>
      <c r="L10" s="23" t="str">
        <f>Gameplan!$B$8</f>
        <v>-</v>
      </c>
      <c r="M10" s="23">
        <f>Gameplan!$C$8</f>
        <v>0</v>
      </c>
      <c r="N10" s="23" t="str">
        <f>Gameplan!$D$8</f>
        <v>-</v>
      </c>
      <c r="O10" s="23" t="str">
        <f>Gameplan!$E$8</f>
        <v>-</v>
      </c>
      <c r="P10" s="23" t="str">
        <f>Gameplan!$F$8</f>
        <v>-</v>
      </c>
      <c r="Q10" s="23" t="str">
        <f>Gameplan!$G$8</f>
        <v>-</v>
      </c>
      <c r="R10" s="23" t="str">
        <f>Gameplan!$H$8</f>
        <v>-</v>
      </c>
      <c r="S10" s="23" t="str">
        <f>Gameplan!$I$8</f>
        <v>-</v>
      </c>
      <c r="T10" s="23" t="str">
        <f>Gameplan!$J$8</f>
        <v>-</v>
      </c>
    </row>
    <row r="11" spans="1:20" ht="15" customHeight="1" x14ac:dyDescent="0.2">
      <c r="A11" s="23"/>
      <c r="B11" s="23"/>
      <c r="C11" s="23"/>
      <c r="D11" s="23"/>
      <c r="E11" s="23"/>
      <c r="F11" s="23"/>
      <c r="G11" s="23"/>
      <c r="H11" s="23"/>
      <c r="I11" s="23"/>
      <c r="J11" s="26"/>
      <c r="K11" s="6"/>
      <c r="L11" s="23"/>
      <c r="M11" s="23"/>
      <c r="N11" s="23"/>
      <c r="O11" s="23"/>
      <c r="P11" s="23"/>
      <c r="Q11" s="23"/>
      <c r="R11" s="23"/>
      <c r="S11" s="23"/>
      <c r="T11" s="23"/>
    </row>
    <row r="12" spans="1:20" ht="15" customHeight="1" x14ac:dyDescent="0.2">
      <c r="A12" s="23" t="str">
        <f>Gameplan!$B$9</f>
        <v>-</v>
      </c>
      <c r="B12" s="23">
        <f>Gameplan!$C$9</f>
        <v>0</v>
      </c>
      <c r="C12" s="23" t="str">
        <f>Gameplan!$D$9</f>
        <v>-</v>
      </c>
      <c r="D12" s="23" t="str">
        <f>Gameplan!$E$9</f>
        <v>-</v>
      </c>
      <c r="E12" s="23" t="str">
        <f>Gameplan!$F$9</f>
        <v>-</v>
      </c>
      <c r="F12" s="23" t="str">
        <f>Gameplan!$G$9</f>
        <v>-</v>
      </c>
      <c r="G12" s="23" t="str">
        <f>Gameplan!$H$9</f>
        <v>-</v>
      </c>
      <c r="H12" s="23" t="str">
        <f>Gameplan!$I$9</f>
        <v>-</v>
      </c>
      <c r="I12" s="23" t="str">
        <f>Gameplan!$J$9</f>
        <v>-</v>
      </c>
      <c r="J12" s="26"/>
      <c r="K12" s="6"/>
      <c r="L12" s="23" t="str">
        <f>Gameplan!$B$9</f>
        <v>-</v>
      </c>
      <c r="M12" s="23">
        <f>Gameplan!$C$9</f>
        <v>0</v>
      </c>
      <c r="N12" s="23" t="str">
        <f>Gameplan!$D$9</f>
        <v>-</v>
      </c>
      <c r="O12" s="23" t="str">
        <f>Gameplan!$E$9</f>
        <v>-</v>
      </c>
      <c r="P12" s="23" t="str">
        <f>Gameplan!$F$9</f>
        <v>-</v>
      </c>
      <c r="Q12" s="23" t="str">
        <f>Gameplan!$G$9</f>
        <v>-</v>
      </c>
      <c r="R12" s="23" t="str">
        <f>Gameplan!$H$9</f>
        <v>-</v>
      </c>
      <c r="S12" s="23" t="str">
        <f>Gameplan!$I$9</f>
        <v>-</v>
      </c>
      <c r="T12" s="23" t="str">
        <f>Gameplan!$J$9</f>
        <v>-</v>
      </c>
    </row>
    <row r="13" spans="1:20" ht="15" customHeight="1" x14ac:dyDescent="0.2">
      <c r="A13" s="23"/>
      <c r="B13" s="23"/>
      <c r="C13" s="23"/>
      <c r="D13" s="23"/>
      <c r="E13" s="23"/>
      <c r="F13" s="23"/>
      <c r="G13" s="23"/>
      <c r="H13" s="23"/>
      <c r="I13" s="23"/>
      <c r="J13" s="26"/>
      <c r="K13" s="6"/>
      <c r="L13" s="23"/>
      <c r="M13" s="23"/>
      <c r="N13" s="23"/>
      <c r="O13" s="23"/>
      <c r="P13" s="23"/>
      <c r="Q13" s="23"/>
      <c r="R13" s="23"/>
      <c r="S13" s="23"/>
      <c r="T13" s="23"/>
    </row>
    <row r="14" spans="1:20" ht="15" customHeight="1" x14ac:dyDescent="0.2">
      <c r="A14" s="23" t="str">
        <f>Gameplan!$B$10</f>
        <v>-</v>
      </c>
      <c r="B14" s="23">
        <f>Gameplan!$C$10</f>
        <v>0</v>
      </c>
      <c r="C14" s="23" t="str">
        <f>Gameplan!$D$10</f>
        <v>-</v>
      </c>
      <c r="D14" s="23" t="str">
        <f>Gameplan!$E$10</f>
        <v>-</v>
      </c>
      <c r="E14" s="23" t="str">
        <f>Gameplan!$F$10</f>
        <v>-</v>
      </c>
      <c r="F14" s="23" t="str">
        <f>Gameplan!$G$10</f>
        <v>-</v>
      </c>
      <c r="G14" s="23" t="str">
        <f>Gameplan!$H$10</f>
        <v>-</v>
      </c>
      <c r="H14" s="23" t="str">
        <f>Gameplan!$I$10</f>
        <v>-</v>
      </c>
      <c r="I14" s="23" t="str">
        <f>Gameplan!$J$10</f>
        <v>-</v>
      </c>
      <c r="J14" s="26"/>
      <c r="K14" s="6"/>
      <c r="L14" s="23" t="str">
        <f>Gameplan!$B$10</f>
        <v>-</v>
      </c>
      <c r="M14" s="23">
        <f>Gameplan!$C$10</f>
        <v>0</v>
      </c>
      <c r="N14" s="23" t="str">
        <f>Gameplan!$D$10</f>
        <v>-</v>
      </c>
      <c r="O14" s="23" t="str">
        <f>Gameplan!$E$10</f>
        <v>-</v>
      </c>
      <c r="P14" s="23" t="str">
        <f>Gameplan!$F$10</f>
        <v>-</v>
      </c>
      <c r="Q14" s="23" t="str">
        <f>Gameplan!$G$10</f>
        <v>-</v>
      </c>
      <c r="R14" s="23" t="str">
        <f>Gameplan!$H$10</f>
        <v>-</v>
      </c>
      <c r="S14" s="23" t="str">
        <f>Gameplan!$I$10</f>
        <v>-</v>
      </c>
      <c r="T14" s="23" t="str">
        <f>Gameplan!$J$10</f>
        <v>-</v>
      </c>
    </row>
    <row r="15" spans="1:20" ht="15" customHeight="1" x14ac:dyDescent="0.2">
      <c r="A15" s="23"/>
      <c r="B15" s="23"/>
      <c r="C15" s="23"/>
      <c r="D15" s="23"/>
      <c r="E15" s="23"/>
      <c r="F15" s="23"/>
      <c r="G15" s="23"/>
      <c r="H15" s="23"/>
      <c r="I15" s="23"/>
      <c r="J15" s="26"/>
      <c r="K15" s="6"/>
      <c r="L15" s="23"/>
      <c r="M15" s="23"/>
      <c r="N15" s="23"/>
      <c r="O15" s="23"/>
      <c r="P15" s="23"/>
      <c r="Q15" s="23"/>
      <c r="R15" s="23"/>
      <c r="S15" s="23"/>
      <c r="T15" s="23"/>
    </row>
    <row r="16" spans="1:20" ht="15" customHeight="1" x14ac:dyDescent="0.2">
      <c r="A16" s="23" t="str">
        <f>Gameplan!$B$11</f>
        <v>-</v>
      </c>
      <c r="B16" s="23">
        <f>Gameplan!$C$11</f>
        <v>0</v>
      </c>
      <c r="C16" s="23" t="str">
        <f>Gameplan!$D$11</f>
        <v>-</v>
      </c>
      <c r="D16" s="23" t="str">
        <f>Gameplan!$E$11</f>
        <v>-</v>
      </c>
      <c r="E16" s="23" t="str">
        <f>Gameplan!$F$11</f>
        <v>-</v>
      </c>
      <c r="F16" s="23" t="str">
        <f>Gameplan!$G$11</f>
        <v>-</v>
      </c>
      <c r="G16" s="23" t="str">
        <f>Gameplan!$H$11</f>
        <v>-</v>
      </c>
      <c r="H16" s="23" t="str">
        <f>Gameplan!$I$11</f>
        <v>-</v>
      </c>
      <c r="I16" s="23" t="str">
        <f>Gameplan!$J$11</f>
        <v>-</v>
      </c>
      <c r="J16" s="26"/>
      <c r="K16" s="6"/>
      <c r="L16" s="23" t="str">
        <f>Gameplan!$B$11</f>
        <v>-</v>
      </c>
      <c r="M16" s="23">
        <f>Gameplan!$C$11</f>
        <v>0</v>
      </c>
      <c r="N16" s="23" t="str">
        <f>Gameplan!$D$11</f>
        <v>-</v>
      </c>
      <c r="O16" s="23" t="str">
        <f>Gameplan!$E$11</f>
        <v>-</v>
      </c>
      <c r="P16" s="23" t="str">
        <f>Gameplan!$F$11</f>
        <v>-</v>
      </c>
      <c r="Q16" s="23" t="str">
        <f>Gameplan!$G$11</f>
        <v>-</v>
      </c>
      <c r="R16" s="23" t="str">
        <f>Gameplan!$H$11</f>
        <v>-</v>
      </c>
      <c r="S16" s="23" t="str">
        <f>Gameplan!$I$11</f>
        <v>-</v>
      </c>
      <c r="T16" s="23" t="str">
        <f>Gameplan!$J$11</f>
        <v>-</v>
      </c>
    </row>
    <row r="17" spans="1:20" ht="15" customHeight="1" x14ac:dyDescent="0.2">
      <c r="A17" s="23"/>
      <c r="B17" s="23"/>
      <c r="C17" s="23"/>
      <c r="D17" s="23"/>
      <c r="E17" s="23"/>
      <c r="F17" s="23"/>
      <c r="G17" s="23"/>
      <c r="H17" s="23"/>
      <c r="I17" s="23"/>
      <c r="J17" s="26"/>
      <c r="K17" s="6"/>
      <c r="L17" s="23"/>
      <c r="M17" s="23"/>
      <c r="N17" s="23"/>
      <c r="O17" s="23"/>
      <c r="P17" s="23"/>
      <c r="Q17" s="23"/>
      <c r="R17" s="23"/>
      <c r="S17" s="23"/>
      <c r="T17" s="23"/>
    </row>
    <row r="18" spans="1:20" ht="15" customHeight="1" x14ac:dyDescent="0.2">
      <c r="A18" s="23" t="str">
        <f>Gameplan!$B$12</f>
        <v>-</v>
      </c>
      <c r="B18" s="23">
        <f>Gameplan!$C$12</f>
        <v>0</v>
      </c>
      <c r="C18" s="23" t="str">
        <f>Gameplan!$D$12</f>
        <v>-</v>
      </c>
      <c r="D18" s="23" t="str">
        <f>Gameplan!$E$12</f>
        <v>-</v>
      </c>
      <c r="E18" s="23" t="str">
        <f>Gameplan!$F$12</f>
        <v>-</v>
      </c>
      <c r="F18" s="23" t="str">
        <f>Gameplan!$G$12</f>
        <v>-</v>
      </c>
      <c r="G18" s="23" t="str">
        <f>Gameplan!$H$12</f>
        <v>-</v>
      </c>
      <c r="H18" s="23" t="str">
        <f>Gameplan!$I$12</f>
        <v>-</v>
      </c>
      <c r="I18" s="23" t="str">
        <f>Gameplan!$J$12</f>
        <v>-</v>
      </c>
      <c r="J18" s="26"/>
      <c r="K18" s="6"/>
      <c r="L18" s="23" t="str">
        <f>Gameplan!$B$12</f>
        <v>-</v>
      </c>
      <c r="M18" s="23">
        <f>Gameplan!$C$12</f>
        <v>0</v>
      </c>
      <c r="N18" s="23" t="str">
        <f>Gameplan!$D$12</f>
        <v>-</v>
      </c>
      <c r="O18" s="23" t="str">
        <f>Gameplan!$E$12</f>
        <v>-</v>
      </c>
      <c r="P18" s="23" t="str">
        <f>Gameplan!$F$12</f>
        <v>-</v>
      </c>
      <c r="Q18" s="23" t="str">
        <f>Gameplan!$G$12</f>
        <v>-</v>
      </c>
      <c r="R18" s="23" t="str">
        <f>Gameplan!$H$12</f>
        <v>-</v>
      </c>
      <c r="S18" s="23" t="str">
        <f>Gameplan!$I$12</f>
        <v>-</v>
      </c>
      <c r="T18" s="23" t="str">
        <f>Gameplan!$J$12</f>
        <v>-</v>
      </c>
    </row>
    <row r="19" spans="1:20" ht="15" customHeight="1" x14ac:dyDescent="0.2">
      <c r="A19" s="23"/>
      <c r="B19" s="23"/>
      <c r="C19" s="23"/>
      <c r="D19" s="23"/>
      <c r="E19" s="23"/>
      <c r="F19" s="23"/>
      <c r="G19" s="23"/>
      <c r="H19" s="23"/>
      <c r="I19" s="23"/>
      <c r="J19" s="26"/>
      <c r="K19" s="6"/>
      <c r="L19" s="23"/>
      <c r="M19" s="23"/>
      <c r="N19" s="23"/>
      <c r="O19" s="23"/>
      <c r="P19" s="23"/>
      <c r="Q19" s="23"/>
      <c r="R19" s="23"/>
      <c r="S19" s="23"/>
      <c r="T19" s="23"/>
    </row>
    <row r="20" spans="1:20" ht="15" customHeight="1" x14ac:dyDescent="0.2">
      <c r="A20" s="23" t="str">
        <f>Gameplan!$B$13</f>
        <v>-</v>
      </c>
      <c r="B20" s="23">
        <f>Gameplan!$C$13</f>
        <v>0</v>
      </c>
      <c r="C20" s="23" t="str">
        <f>Gameplan!$D$13</f>
        <v>-</v>
      </c>
      <c r="D20" s="23" t="str">
        <f>Gameplan!$E$13</f>
        <v>-</v>
      </c>
      <c r="E20" s="23" t="str">
        <f>Gameplan!$F$13</f>
        <v>-</v>
      </c>
      <c r="F20" s="23" t="str">
        <f>Gameplan!$G$13</f>
        <v>-</v>
      </c>
      <c r="G20" s="23" t="str">
        <f>Gameplan!$H$13</f>
        <v>-</v>
      </c>
      <c r="H20" s="23" t="str">
        <f>Gameplan!$I$13</f>
        <v>-</v>
      </c>
      <c r="I20" s="23" t="str">
        <f>Gameplan!$J$13</f>
        <v>-</v>
      </c>
      <c r="J20" s="26"/>
      <c r="K20" s="6"/>
      <c r="L20" s="23" t="str">
        <f>Gameplan!$B$13</f>
        <v>-</v>
      </c>
      <c r="M20" s="23">
        <f>Gameplan!$C$13</f>
        <v>0</v>
      </c>
      <c r="N20" s="23" t="str">
        <f>Gameplan!$D$13</f>
        <v>-</v>
      </c>
      <c r="O20" s="23" t="str">
        <f>Gameplan!$E$13</f>
        <v>-</v>
      </c>
      <c r="P20" s="23" t="str">
        <f>Gameplan!$F$13</f>
        <v>-</v>
      </c>
      <c r="Q20" s="23" t="str">
        <f>Gameplan!$G$13</f>
        <v>-</v>
      </c>
      <c r="R20" s="23" t="str">
        <f>Gameplan!$H$13</f>
        <v>-</v>
      </c>
      <c r="S20" s="23" t="str">
        <f>Gameplan!$I$13</f>
        <v>-</v>
      </c>
      <c r="T20" s="23" t="str">
        <f>Gameplan!$J$13</f>
        <v>-</v>
      </c>
    </row>
    <row r="21" spans="1:20" ht="15" customHeight="1" x14ac:dyDescent="0.2">
      <c r="A21" s="23"/>
      <c r="B21" s="23"/>
      <c r="C21" s="23"/>
      <c r="D21" s="23"/>
      <c r="E21" s="23"/>
      <c r="F21" s="23"/>
      <c r="G21" s="23"/>
      <c r="H21" s="23"/>
      <c r="I21" s="23"/>
      <c r="J21" s="26"/>
      <c r="K21" s="6"/>
      <c r="L21" s="23"/>
      <c r="M21" s="23"/>
      <c r="N21" s="23"/>
      <c r="O21" s="23"/>
      <c r="P21" s="23"/>
      <c r="Q21" s="23"/>
      <c r="R21" s="23"/>
      <c r="S21" s="23"/>
      <c r="T21" s="23"/>
    </row>
    <row r="22" spans="1:20" ht="15" customHeight="1" x14ac:dyDescent="0.2">
      <c r="A22" s="23" t="str">
        <f>Gameplan!$B$14</f>
        <v>-</v>
      </c>
      <c r="B22" s="23">
        <f>Gameplan!$C$14</f>
        <v>0</v>
      </c>
      <c r="C22" s="23" t="str">
        <f>Gameplan!$D$14</f>
        <v>-</v>
      </c>
      <c r="D22" s="23" t="str">
        <f>Gameplan!$E$14</f>
        <v>-</v>
      </c>
      <c r="E22" s="23" t="str">
        <f>Gameplan!$F$14</f>
        <v>-</v>
      </c>
      <c r="F22" s="23" t="str">
        <f>Gameplan!$G$14</f>
        <v>-</v>
      </c>
      <c r="G22" s="23" t="str">
        <f>Gameplan!$H$14</f>
        <v>-</v>
      </c>
      <c r="H22" s="23" t="str">
        <f>Gameplan!$I$14</f>
        <v>-</v>
      </c>
      <c r="I22" s="23" t="str">
        <f>Gameplan!$J$14</f>
        <v>-</v>
      </c>
      <c r="J22" s="26"/>
      <c r="K22" s="6"/>
      <c r="L22" s="23" t="str">
        <f>Gameplan!$B$14</f>
        <v>-</v>
      </c>
      <c r="M22" s="23">
        <f>Gameplan!$C$14</f>
        <v>0</v>
      </c>
      <c r="N22" s="23" t="str">
        <f>Gameplan!$D$14</f>
        <v>-</v>
      </c>
      <c r="O22" s="23" t="str">
        <f>Gameplan!$E$14</f>
        <v>-</v>
      </c>
      <c r="P22" s="23" t="str">
        <f>Gameplan!$F$14</f>
        <v>-</v>
      </c>
      <c r="Q22" s="23" t="str">
        <f>Gameplan!$G$14</f>
        <v>-</v>
      </c>
      <c r="R22" s="23" t="str">
        <f>Gameplan!$H$14</f>
        <v>-</v>
      </c>
      <c r="S22" s="23" t="str">
        <f>Gameplan!$I$14</f>
        <v>-</v>
      </c>
      <c r="T22" s="23" t="str">
        <f>Gameplan!$J$14</f>
        <v>-</v>
      </c>
    </row>
    <row r="23" spans="1:20" ht="15" customHeight="1" x14ac:dyDescent="0.2">
      <c r="A23" s="23"/>
      <c r="B23" s="23"/>
      <c r="C23" s="23"/>
      <c r="D23" s="23"/>
      <c r="E23" s="23"/>
      <c r="F23" s="23"/>
      <c r="G23" s="23"/>
      <c r="H23" s="23"/>
      <c r="I23" s="23"/>
      <c r="J23" s="26"/>
      <c r="K23" s="6"/>
      <c r="L23" s="23"/>
      <c r="M23" s="23"/>
      <c r="N23" s="23"/>
      <c r="O23" s="23"/>
      <c r="P23" s="23"/>
      <c r="Q23" s="23"/>
      <c r="R23" s="23"/>
      <c r="S23" s="23"/>
      <c r="T23" s="23"/>
    </row>
    <row r="24" spans="1:20" ht="15" customHeight="1" x14ac:dyDescent="0.2">
      <c r="A24" s="23" t="str">
        <f>Gameplan!$B$15</f>
        <v>-</v>
      </c>
      <c r="B24" s="23">
        <f>Gameplan!$C$15</f>
        <v>0</v>
      </c>
      <c r="C24" s="23" t="str">
        <f>Gameplan!$D$15</f>
        <v>-</v>
      </c>
      <c r="D24" s="23" t="str">
        <f>Gameplan!$E$15</f>
        <v>-</v>
      </c>
      <c r="E24" s="23" t="str">
        <f>Gameplan!$F$15</f>
        <v>-</v>
      </c>
      <c r="F24" s="23" t="str">
        <f>Gameplan!$G$15</f>
        <v>-</v>
      </c>
      <c r="G24" s="23" t="str">
        <f>Gameplan!$H$15</f>
        <v>-</v>
      </c>
      <c r="H24" s="23" t="str">
        <f>Gameplan!$I$15</f>
        <v>-</v>
      </c>
      <c r="I24" s="23" t="str">
        <f>Gameplan!$J$15</f>
        <v>-</v>
      </c>
      <c r="J24" s="26"/>
      <c r="K24" s="6"/>
      <c r="L24" s="23" t="str">
        <f>Gameplan!$B$15</f>
        <v>-</v>
      </c>
      <c r="M24" s="23">
        <f>Gameplan!$C$15</f>
        <v>0</v>
      </c>
      <c r="N24" s="23" t="str">
        <f>Gameplan!$D$15</f>
        <v>-</v>
      </c>
      <c r="O24" s="23" t="str">
        <f>Gameplan!$E$15</f>
        <v>-</v>
      </c>
      <c r="P24" s="23" t="str">
        <f>Gameplan!$F$15</f>
        <v>-</v>
      </c>
      <c r="Q24" s="23" t="str">
        <f>Gameplan!$G$15</f>
        <v>-</v>
      </c>
      <c r="R24" s="23" t="str">
        <f>Gameplan!$H$15</f>
        <v>-</v>
      </c>
      <c r="S24" s="23" t="str">
        <f>Gameplan!$I$15</f>
        <v>-</v>
      </c>
      <c r="T24" s="23" t="str">
        <f>Gameplan!$J$15</f>
        <v>-</v>
      </c>
    </row>
    <row r="25" spans="1:20" ht="15" customHeight="1" x14ac:dyDescent="0.2">
      <c r="A25" s="23"/>
      <c r="B25" s="23"/>
      <c r="C25" s="23"/>
      <c r="D25" s="23"/>
      <c r="E25" s="23"/>
      <c r="F25" s="23"/>
      <c r="G25" s="23"/>
      <c r="H25" s="23"/>
      <c r="I25" s="23"/>
      <c r="J25" s="26"/>
      <c r="K25" s="6"/>
      <c r="L25" s="23"/>
      <c r="M25" s="23"/>
      <c r="N25" s="23"/>
      <c r="O25" s="23"/>
      <c r="P25" s="23"/>
      <c r="Q25" s="23"/>
      <c r="R25" s="23"/>
      <c r="S25" s="23"/>
      <c r="T25" s="23"/>
    </row>
    <row r="26" spans="1:20" ht="15" customHeight="1" x14ac:dyDescent="0.2">
      <c r="A26" s="23" t="str">
        <f>Gameplan!$B$16</f>
        <v>-</v>
      </c>
      <c r="B26" s="23">
        <f>Gameplan!$C$16</f>
        <v>0</v>
      </c>
      <c r="C26" s="23" t="str">
        <f>Gameplan!$D$16</f>
        <v>-</v>
      </c>
      <c r="D26" s="23" t="str">
        <f>Gameplan!$E$16</f>
        <v>-</v>
      </c>
      <c r="E26" s="23" t="str">
        <f>Gameplan!$F$16</f>
        <v>-</v>
      </c>
      <c r="F26" s="23" t="str">
        <f>Gameplan!$G$16</f>
        <v>-</v>
      </c>
      <c r="G26" s="23" t="str">
        <f>Gameplan!$H$16</f>
        <v>-</v>
      </c>
      <c r="H26" s="23" t="str">
        <f>Gameplan!$I$16</f>
        <v>-</v>
      </c>
      <c r="I26" s="23" t="str">
        <f>Gameplan!$J$16</f>
        <v>-</v>
      </c>
      <c r="J26" s="26"/>
      <c r="K26" s="6"/>
      <c r="L26" s="23" t="str">
        <f>Gameplan!$B$16</f>
        <v>-</v>
      </c>
      <c r="M26" s="23">
        <f>Gameplan!$C$16</f>
        <v>0</v>
      </c>
      <c r="N26" s="23" t="str">
        <f>Gameplan!$D$16</f>
        <v>-</v>
      </c>
      <c r="O26" s="23" t="str">
        <f>Gameplan!$E$16</f>
        <v>-</v>
      </c>
      <c r="P26" s="23" t="str">
        <f>Gameplan!$F$16</f>
        <v>-</v>
      </c>
      <c r="Q26" s="23" t="str">
        <f>Gameplan!$G$16</f>
        <v>-</v>
      </c>
      <c r="R26" s="23" t="str">
        <f>Gameplan!$H$16</f>
        <v>-</v>
      </c>
      <c r="S26" s="23" t="str">
        <f>Gameplan!$I$16</f>
        <v>-</v>
      </c>
      <c r="T26" s="23" t="str">
        <f>Gameplan!$J$16</f>
        <v>-</v>
      </c>
    </row>
    <row r="27" spans="1:20" ht="15" customHeight="1" x14ac:dyDescent="0.2">
      <c r="A27" s="23"/>
      <c r="B27" s="23"/>
      <c r="C27" s="23"/>
      <c r="D27" s="23"/>
      <c r="E27" s="23"/>
      <c r="F27" s="23"/>
      <c r="G27" s="23"/>
      <c r="H27" s="23"/>
      <c r="I27" s="23"/>
      <c r="J27" s="26"/>
      <c r="K27" s="6"/>
      <c r="L27" s="23"/>
      <c r="M27" s="23"/>
      <c r="N27" s="23"/>
      <c r="O27" s="23"/>
      <c r="P27" s="23"/>
      <c r="Q27" s="23"/>
      <c r="R27" s="23"/>
      <c r="S27" s="23"/>
      <c r="T27" s="23"/>
    </row>
    <row r="28" spans="1:20" ht="15" customHeight="1" x14ac:dyDescent="0.2">
      <c r="A28" s="23" t="str">
        <f>Gameplan!$B$17</f>
        <v>-</v>
      </c>
      <c r="B28" s="23">
        <f>Gameplan!$C$17</f>
        <v>0</v>
      </c>
      <c r="C28" s="23" t="str">
        <f>Gameplan!$D$17</f>
        <v>-</v>
      </c>
      <c r="D28" s="23" t="str">
        <f>Gameplan!$E$17</f>
        <v>-</v>
      </c>
      <c r="E28" s="23" t="str">
        <f>Gameplan!$F$17</f>
        <v>-</v>
      </c>
      <c r="F28" s="23" t="str">
        <f>Gameplan!$G$17</f>
        <v>-</v>
      </c>
      <c r="G28" s="23" t="str">
        <f>Gameplan!$H$17</f>
        <v>-</v>
      </c>
      <c r="H28" s="23" t="str">
        <f>Gameplan!$I$17</f>
        <v>-</v>
      </c>
      <c r="I28" s="23" t="str">
        <f>Gameplan!$J$17</f>
        <v>-</v>
      </c>
      <c r="J28" s="26"/>
      <c r="K28" s="6"/>
      <c r="L28" s="23" t="str">
        <f>Gameplan!$B$17</f>
        <v>-</v>
      </c>
      <c r="M28" s="23">
        <f>Gameplan!$C$17</f>
        <v>0</v>
      </c>
      <c r="N28" s="23" t="str">
        <f>Gameplan!$D$17</f>
        <v>-</v>
      </c>
      <c r="O28" s="23" t="str">
        <f>Gameplan!$E$17</f>
        <v>-</v>
      </c>
      <c r="P28" s="23" t="str">
        <f>Gameplan!$F$17</f>
        <v>-</v>
      </c>
      <c r="Q28" s="23" t="str">
        <f>Gameplan!$G$17</f>
        <v>-</v>
      </c>
      <c r="R28" s="23" t="str">
        <f>Gameplan!$H$17</f>
        <v>-</v>
      </c>
      <c r="S28" s="23" t="str">
        <f>Gameplan!$I$17</f>
        <v>-</v>
      </c>
      <c r="T28" s="23" t="str">
        <f>Gameplan!$J$17</f>
        <v>-</v>
      </c>
    </row>
    <row r="29" spans="1:20" ht="15" customHeight="1" x14ac:dyDescent="0.2">
      <c r="A29" s="23"/>
      <c r="B29" s="23"/>
      <c r="C29" s="23"/>
      <c r="D29" s="23"/>
      <c r="E29" s="23"/>
      <c r="F29" s="23"/>
      <c r="G29" s="23"/>
      <c r="H29" s="23"/>
      <c r="I29" s="23"/>
      <c r="J29" s="26"/>
      <c r="K29" s="6"/>
      <c r="L29" s="23"/>
      <c r="M29" s="23"/>
      <c r="N29" s="23"/>
      <c r="O29" s="23"/>
      <c r="P29" s="23"/>
      <c r="Q29" s="23"/>
      <c r="R29" s="23"/>
      <c r="S29" s="23"/>
      <c r="T29" s="23"/>
    </row>
    <row r="30" spans="1:20" ht="15" customHeight="1" x14ac:dyDescent="0.2">
      <c r="A30" s="23" t="str">
        <f>Gameplan!$B$18</f>
        <v>-</v>
      </c>
      <c r="B30" s="23">
        <f>Gameplan!$C$18</f>
        <v>0</v>
      </c>
      <c r="C30" s="23" t="str">
        <f>Gameplan!$D$18</f>
        <v>-</v>
      </c>
      <c r="D30" s="23" t="str">
        <f>Gameplan!$E$18</f>
        <v>-</v>
      </c>
      <c r="E30" s="23" t="str">
        <f>Gameplan!$F$18</f>
        <v>-</v>
      </c>
      <c r="F30" s="23" t="str">
        <f>Gameplan!$G$18</f>
        <v>-</v>
      </c>
      <c r="G30" s="23" t="str">
        <f>Gameplan!$H$18</f>
        <v>-</v>
      </c>
      <c r="H30" s="23" t="str">
        <f>Gameplan!$I$18</f>
        <v>-</v>
      </c>
      <c r="I30" s="23" t="str">
        <f>Gameplan!$J$18</f>
        <v>-</v>
      </c>
      <c r="J30" s="26"/>
      <c r="K30" s="6"/>
      <c r="L30" s="23" t="str">
        <f>Gameplan!$B$18</f>
        <v>-</v>
      </c>
      <c r="M30" s="23">
        <f>Gameplan!$C$18</f>
        <v>0</v>
      </c>
      <c r="N30" s="23" t="str">
        <f>Gameplan!$D$18</f>
        <v>-</v>
      </c>
      <c r="O30" s="23" t="str">
        <f>Gameplan!$E$18</f>
        <v>-</v>
      </c>
      <c r="P30" s="23" t="str">
        <f>Gameplan!$F$18</f>
        <v>-</v>
      </c>
      <c r="Q30" s="23" t="str">
        <f>Gameplan!$G$18</f>
        <v>-</v>
      </c>
      <c r="R30" s="23" t="str">
        <f>Gameplan!$H$18</f>
        <v>-</v>
      </c>
      <c r="S30" s="23" t="str">
        <f>Gameplan!$I$18</f>
        <v>-</v>
      </c>
      <c r="T30" s="23" t="str">
        <f>Gameplan!$J$18</f>
        <v>-</v>
      </c>
    </row>
    <row r="31" spans="1:20" ht="15" customHeight="1" x14ac:dyDescent="0.2">
      <c r="A31" s="23"/>
      <c r="B31" s="23"/>
      <c r="C31" s="23"/>
      <c r="D31" s="23"/>
      <c r="E31" s="23"/>
      <c r="F31" s="23"/>
      <c r="G31" s="23"/>
      <c r="H31" s="23"/>
      <c r="I31" s="23"/>
      <c r="J31" s="26"/>
      <c r="K31" s="6"/>
      <c r="L31" s="23"/>
      <c r="M31" s="23"/>
      <c r="N31" s="23"/>
      <c r="O31" s="23"/>
      <c r="P31" s="23"/>
      <c r="Q31" s="23"/>
      <c r="R31" s="23"/>
      <c r="S31" s="23"/>
      <c r="T31" s="23"/>
    </row>
    <row r="32" spans="1:20" ht="15" customHeight="1" x14ac:dyDescent="0.2">
      <c r="A32" s="23" t="str">
        <f>Gameplan!$B$19</f>
        <v>-</v>
      </c>
      <c r="B32" s="23">
        <f>Gameplan!$C$19</f>
        <v>0</v>
      </c>
      <c r="C32" s="23" t="str">
        <f>Gameplan!$D$19</f>
        <v>-</v>
      </c>
      <c r="D32" s="23" t="str">
        <f>Gameplan!$E$19</f>
        <v>-</v>
      </c>
      <c r="E32" s="23" t="str">
        <f>Gameplan!$F$19</f>
        <v>-</v>
      </c>
      <c r="F32" s="23" t="str">
        <f>Gameplan!$G$19</f>
        <v>-</v>
      </c>
      <c r="G32" s="23" t="str">
        <f>Gameplan!$H$19</f>
        <v>-</v>
      </c>
      <c r="H32" s="23" t="str">
        <f>Gameplan!$I$19</f>
        <v>-</v>
      </c>
      <c r="I32" s="23" t="str">
        <f>Gameplan!$J$19</f>
        <v>-</v>
      </c>
      <c r="J32" s="26"/>
      <c r="K32" s="6"/>
      <c r="L32" s="23" t="str">
        <f>Gameplan!$B$19</f>
        <v>-</v>
      </c>
      <c r="M32" s="23">
        <f>Gameplan!$C$19</f>
        <v>0</v>
      </c>
      <c r="N32" s="23" t="str">
        <f>Gameplan!$D$19</f>
        <v>-</v>
      </c>
      <c r="O32" s="23" t="str">
        <f>Gameplan!$E$19</f>
        <v>-</v>
      </c>
      <c r="P32" s="23" t="str">
        <f>Gameplan!$F$19</f>
        <v>-</v>
      </c>
      <c r="Q32" s="23" t="str">
        <f>Gameplan!$G$19</f>
        <v>-</v>
      </c>
      <c r="R32" s="23" t="str">
        <f>Gameplan!$H$19</f>
        <v>-</v>
      </c>
      <c r="S32" s="23" t="str">
        <f>Gameplan!$I$19</f>
        <v>-</v>
      </c>
      <c r="T32" s="23" t="str">
        <f>Gameplan!$J$19</f>
        <v>-</v>
      </c>
    </row>
    <row r="33" spans="1:13" ht="15" customHeight="1" x14ac:dyDescent="0.2">
      <c r="J33" s="26"/>
      <c r="K33" s="6"/>
    </row>
    <row r="34" spans="1:13" x14ac:dyDescent="0.2">
      <c r="B34" s="29" t="s">
        <v>25</v>
      </c>
      <c r="C34" s="35"/>
      <c r="D34" s="35"/>
      <c r="E34" s="35"/>
      <c r="F34" s="35"/>
      <c r="G34" s="35"/>
      <c r="H34" s="35"/>
      <c r="J34" s="26"/>
      <c r="K34" s="6"/>
    </row>
    <row r="35" spans="1:13" x14ac:dyDescent="0.2">
      <c r="B35" s="34"/>
      <c r="C35" s="34"/>
      <c r="D35" s="34"/>
      <c r="E35" s="34"/>
      <c r="F35" s="34"/>
      <c r="G35" s="34"/>
      <c r="H35" s="34"/>
      <c r="J35" s="26"/>
      <c r="K35" s="6"/>
      <c r="L35" s="36"/>
      <c r="M35" s="37"/>
    </row>
    <row r="36" spans="1:13" x14ac:dyDescent="0.2">
      <c r="A36" s="25" t="s">
        <v>2</v>
      </c>
      <c r="B36" s="25" t="s">
        <v>1</v>
      </c>
      <c r="C36" s="25">
        <v>1</v>
      </c>
      <c r="D36" s="25">
        <v>2</v>
      </c>
      <c r="E36" s="25">
        <v>3</v>
      </c>
      <c r="F36" s="25">
        <v>4</v>
      </c>
      <c r="G36" s="25">
        <v>5</v>
      </c>
      <c r="H36" s="25">
        <v>6</v>
      </c>
      <c r="I36" s="25">
        <v>7</v>
      </c>
      <c r="J36" s="26"/>
      <c r="K36" s="6"/>
      <c r="L36" s="36"/>
      <c r="M36" s="37"/>
    </row>
    <row r="37" spans="1:13" x14ac:dyDescent="0.2">
      <c r="A37" s="23" t="str">
        <f>Gameplan!$B$5</f>
        <v>-</v>
      </c>
      <c r="B37" s="23">
        <f>Gameplan!$C$5</f>
        <v>0</v>
      </c>
      <c r="C37" s="23" t="str">
        <f>Gameplan!$D$5</f>
        <v>-</v>
      </c>
      <c r="D37" s="23" t="str">
        <f>Gameplan!$E$5</f>
        <v>-</v>
      </c>
      <c r="E37" s="23" t="str">
        <f>Gameplan!$F$5</f>
        <v>-</v>
      </c>
      <c r="F37" s="23" t="str">
        <f>Gameplan!$G$5</f>
        <v>-</v>
      </c>
      <c r="G37" s="23" t="str">
        <f>Gameplan!$H$5</f>
        <v>-</v>
      </c>
      <c r="H37" s="23" t="str">
        <f>Gameplan!$I$5</f>
        <v>-</v>
      </c>
      <c r="I37" s="23" t="str">
        <f>Gameplan!$J$5</f>
        <v>-</v>
      </c>
      <c r="J37" s="26"/>
      <c r="K37" s="6"/>
      <c r="L37" s="36"/>
      <c r="M37" s="37"/>
    </row>
    <row r="38" spans="1:13" x14ac:dyDescent="0.2">
      <c r="A38" s="23"/>
      <c r="B38" s="23"/>
      <c r="C38" s="23"/>
      <c r="D38" s="23"/>
      <c r="E38" s="23"/>
      <c r="F38" s="23"/>
      <c r="G38" s="23"/>
      <c r="H38" s="23"/>
      <c r="I38" s="23"/>
      <c r="J38" s="26"/>
      <c r="K38" s="6"/>
      <c r="L38" s="25" t="s">
        <v>2</v>
      </c>
      <c r="M38" s="25" t="s">
        <v>1</v>
      </c>
    </row>
    <row r="39" spans="1:13" x14ac:dyDescent="0.2">
      <c r="A39" s="23" t="str">
        <f>Gameplan!$B$6</f>
        <v>-</v>
      </c>
      <c r="B39" s="23">
        <f>Gameplan!$C$6</f>
        <v>0</v>
      </c>
      <c r="C39" s="23" t="str">
        <f>Gameplan!$D$6</f>
        <v>-</v>
      </c>
      <c r="D39" s="23" t="str">
        <f>Gameplan!$E$6</f>
        <v>-</v>
      </c>
      <c r="E39" s="23" t="str">
        <f>Gameplan!$F$6</f>
        <v>-</v>
      </c>
      <c r="F39" s="23" t="str">
        <f>Gameplan!$G$6</f>
        <v>-</v>
      </c>
      <c r="G39" s="23" t="str">
        <f>Gameplan!$H$6</f>
        <v>-</v>
      </c>
      <c r="H39" s="23" t="str">
        <f>Gameplan!$I$6</f>
        <v>-</v>
      </c>
      <c r="I39" s="23" t="str">
        <f>Gameplan!$J$6</f>
        <v>-</v>
      </c>
      <c r="J39" s="26"/>
      <c r="K39" s="6"/>
      <c r="L39" s="23" t="str">
        <f>Gameplan!$B$5</f>
        <v>-</v>
      </c>
      <c r="M39" s="23">
        <f>Gameplan!$C$5</f>
        <v>0</v>
      </c>
    </row>
    <row r="40" spans="1:13" x14ac:dyDescent="0.2">
      <c r="A40" s="23"/>
      <c r="B40" s="23"/>
      <c r="C40" s="23"/>
      <c r="D40" s="23"/>
      <c r="E40" s="23"/>
      <c r="F40" s="23"/>
      <c r="G40" s="23"/>
      <c r="H40" s="23"/>
      <c r="I40" s="23"/>
      <c r="J40" s="26"/>
      <c r="K40" s="6"/>
      <c r="L40" s="23" t="str">
        <f>Gameplan!$B$6</f>
        <v>-</v>
      </c>
      <c r="M40" s="23">
        <f>Gameplan!$C$6</f>
        <v>0</v>
      </c>
    </row>
    <row r="41" spans="1:13" x14ac:dyDescent="0.2">
      <c r="A41" s="23" t="str">
        <f>Gameplan!$B$7</f>
        <v>-</v>
      </c>
      <c r="B41" s="23">
        <f>Gameplan!$C$7</f>
        <v>0</v>
      </c>
      <c r="C41" s="23" t="str">
        <f>Gameplan!$D$7</f>
        <v>-</v>
      </c>
      <c r="D41" s="23" t="str">
        <f>Gameplan!$E$7</f>
        <v>-</v>
      </c>
      <c r="E41" s="23" t="str">
        <f>Gameplan!$F$7</f>
        <v>-</v>
      </c>
      <c r="F41" s="23" t="str">
        <f>Gameplan!$G$7</f>
        <v>-</v>
      </c>
      <c r="G41" s="23" t="str">
        <f>Gameplan!$H$7</f>
        <v>-</v>
      </c>
      <c r="H41" s="23" t="str">
        <f>Gameplan!$I$7</f>
        <v>-</v>
      </c>
      <c r="I41" s="23" t="str">
        <f>Gameplan!$J$7</f>
        <v>-</v>
      </c>
      <c r="J41" s="26"/>
      <c r="K41" s="6"/>
      <c r="L41" s="23" t="str">
        <f>Gameplan!$B$7</f>
        <v>-</v>
      </c>
      <c r="M41" s="23">
        <f>Gameplan!$C$7</f>
        <v>0</v>
      </c>
    </row>
    <row r="42" spans="1:13" x14ac:dyDescent="0.2">
      <c r="A42" s="23"/>
      <c r="B42" s="23"/>
      <c r="C42" s="23"/>
      <c r="D42" s="23"/>
      <c r="E42" s="23"/>
      <c r="F42" s="23"/>
      <c r="G42" s="23"/>
      <c r="H42" s="23"/>
      <c r="I42" s="23"/>
      <c r="J42" s="26"/>
      <c r="K42" s="6"/>
      <c r="L42" s="23" t="str">
        <f>Gameplan!$B$8</f>
        <v>-</v>
      </c>
      <c r="M42" s="23">
        <f>Gameplan!$C$8</f>
        <v>0</v>
      </c>
    </row>
    <row r="43" spans="1:13" x14ac:dyDescent="0.2">
      <c r="A43" s="23" t="str">
        <f>Gameplan!$B$8</f>
        <v>-</v>
      </c>
      <c r="B43" s="23">
        <f>Gameplan!$C$8</f>
        <v>0</v>
      </c>
      <c r="C43" s="23" t="str">
        <f>Gameplan!$D$8</f>
        <v>-</v>
      </c>
      <c r="D43" s="23" t="str">
        <f>Gameplan!$E$8</f>
        <v>-</v>
      </c>
      <c r="E43" s="23" t="str">
        <f>Gameplan!$F$8</f>
        <v>-</v>
      </c>
      <c r="F43" s="23" t="str">
        <f>Gameplan!$G$8</f>
        <v>-</v>
      </c>
      <c r="G43" s="23" t="str">
        <f>Gameplan!$H$8</f>
        <v>-</v>
      </c>
      <c r="H43" s="23" t="str">
        <f>Gameplan!$I$8</f>
        <v>-</v>
      </c>
      <c r="I43" s="23" t="str">
        <f>Gameplan!$J$8</f>
        <v>-</v>
      </c>
      <c r="J43" s="26"/>
      <c r="K43" s="6"/>
      <c r="L43" s="23" t="str">
        <f>Gameplan!$B$9</f>
        <v>-</v>
      </c>
      <c r="M43" s="23">
        <f>Gameplan!$C$9</f>
        <v>0</v>
      </c>
    </row>
    <row r="44" spans="1:13" x14ac:dyDescent="0.2">
      <c r="A44" s="23"/>
      <c r="B44" s="23"/>
      <c r="C44" s="23"/>
      <c r="D44" s="23"/>
      <c r="E44" s="23"/>
      <c r="F44" s="23"/>
      <c r="G44" s="23"/>
      <c r="H44" s="23"/>
      <c r="I44" s="23"/>
      <c r="J44" s="26"/>
      <c r="K44" s="6"/>
      <c r="L44" s="23" t="str">
        <f>Gameplan!$B$10</f>
        <v>-</v>
      </c>
      <c r="M44" s="23">
        <f>Gameplan!$C$10</f>
        <v>0</v>
      </c>
    </row>
    <row r="45" spans="1:13" x14ac:dyDescent="0.2">
      <c r="A45" s="23" t="str">
        <f>Gameplan!$B$9</f>
        <v>-</v>
      </c>
      <c r="B45" s="23">
        <f>Gameplan!$C$9</f>
        <v>0</v>
      </c>
      <c r="C45" s="23" t="str">
        <f>Gameplan!$D$9</f>
        <v>-</v>
      </c>
      <c r="D45" s="23" t="str">
        <f>Gameplan!$E$9</f>
        <v>-</v>
      </c>
      <c r="E45" s="23" t="str">
        <f>Gameplan!$F$9</f>
        <v>-</v>
      </c>
      <c r="F45" s="23" t="str">
        <f>Gameplan!$G$9</f>
        <v>-</v>
      </c>
      <c r="G45" s="23" t="str">
        <f>Gameplan!$H$9</f>
        <v>-</v>
      </c>
      <c r="H45" s="23" t="str">
        <f>Gameplan!$I$9</f>
        <v>-</v>
      </c>
      <c r="I45" s="23" t="str">
        <f>Gameplan!$J$9</f>
        <v>-</v>
      </c>
      <c r="J45" s="26"/>
      <c r="K45" s="6"/>
      <c r="L45" s="23" t="str">
        <f>Gameplan!$B$11</f>
        <v>-</v>
      </c>
      <c r="M45" s="23">
        <f>Gameplan!$C$11</f>
        <v>0</v>
      </c>
    </row>
    <row r="46" spans="1:13" x14ac:dyDescent="0.2">
      <c r="A46" s="23"/>
      <c r="B46" s="23"/>
      <c r="C46" s="23"/>
      <c r="D46" s="23"/>
      <c r="E46" s="23"/>
      <c r="F46" s="23"/>
      <c r="G46" s="23"/>
      <c r="H46" s="23"/>
      <c r="I46" s="23"/>
      <c r="J46" s="26"/>
      <c r="K46" s="6"/>
      <c r="L46" s="23" t="str">
        <f>Gameplan!$B$12</f>
        <v>-</v>
      </c>
      <c r="M46" s="23">
        <f>Gameplan!$C$12</f>
        <v>0</v>
      </c>
    </row>
    <row r="47" spans="1:13" x14ac:dyDescent="0.2">
      <c r="A47" s="23" t="str">
        <f>Gameplan!$B$10</f>
        <v>-</v>
      </c>
      <c r="B47" s="23">
        <f>Gameplan!$C$10</f>
        <v>0</v>
      </c>
      <c r="C47" s="23" t="str">
        <f>Gameplan!$D$10</f>
        <v>-</v>
      </c>
      <c r="D47" s="23" t="str">
        <f>Gameplan!$E$10</f>
        <v>-</v>
      </c>
      <c r="E47" s="23" t="str">
        <f>Gameplan!$F$10</f>
        <v>-</v>
      </c>
      <c r="F47" s="23" t="str">
        <f>Gameplan!$G$10</f>
        <v>-</v>
      </c>
      <c r="G47" s="23" t="str">
        <f>Gameplan!$H$10</f>
        <v>-</v>
      </c>
      <c r="H47" s="23" t="str">
        <f>Gameplan!$I$10</f>
        <v>-</v>
      </c>
      <c r="I47" s="23" t="str">
        <f>Gameplan!$J$10</f>
        <v>-</v>
      </c>
      <c r="J47" s="26"/>
      <c r="K47" s="6"/>
      <c r="L47" s="23" t="str">
        <f>Gameplan!$B$13</f>
        <v>-</v>
      </c>
      <c r="M47" s="23">
        <f>Gameplan!$C$13</f>
        <v>0</v>
      </c>
    </row>
    <row r="48" spans="1:13" x14ac:dyDescent="0.2">
      <c r="A48" s="23"/>
      <c r="B48" s="23"/>
      <c r="C48" s="23"/>
      <c r="D48" s="23"/>
      <c r="E48" s="23"/>
      <c r="F48" s="23"/>
      <c r="G48" s="23"/>
      <c r="H48" s="23"/>
      <c r="I48" s="23"/>
      <c r="J48" s="26"/>
      <c r="K48" s="6"/>
      <c r="L48" s="23" t="str">
        <f>Gameplan!$B$14</f>
        <v>-</v>
      </c>
      <c r="M48" s="23">
        <f>Gameplan!$C$14</f>
        <v>0</v>
      </c>
    </row>
    <row r="49" spans="1:13" x14ac:dyDescent="0.2">
      <c r="A49" s="23" t="str">
        <f>Gameplan!$B$11</f>
        <v>-</v>
      </c>
      <c r="B49" s="23">
        <f>Gameplan!$C$11</f>
        <v>0</v>
      </c>
      <c r="C49" s="23" t="str">
        <f>Gameplan!$D$11</f>
        <v>-</v>
      </c>
      <c r="D49" s="23" t="str">
        <f>Gameplan!$E$11</f>
        <v>-</v>
      </c>
      <c r="E49" s="23" t="str">
        <f>Gameplan!$F$11</f>
        <v>-</v>
      </c>
      <c r="F49" s="23" t="str">
        <f>Gameplan!$G$11</f>
        <v>-</v>
      </c>
      <c r="G49" s="23" t="str">
        <f>Gameplan!$H$11</f>
        <v>-</v>
      </c>
      <c r="H49" s="23" t="str">
        <f>Gameplan!$I$11</f>
        <v>-</v>
      </c>
      <c r="I49" s="23" t="str">
        <f>Gameplan!$J$11</f>
        <v>-</v>
      </c>
      <c r="J49" s="26"/>
      <c r="K49" s="6"/>
      <c r="L49" s="23" t="str">
        <f>Gameplan!$B$15</f>
        <v>-</v>
      </c>
      <c r="M49" s="23">
        <f>Gameplan!$C$15</f>
        <v>0</v>
      </c>
    </row>
    <row r="50" spans="1:13" x14ac:dyDescent="0.2">
      <c r="A50" s="23"/>
      <c r="B50" s="23"/>
      <c r="C50" s="23"/>
      <c r="D50" s="23"/>
      <c r="E50" s="23"/>
      <c r="F50" s="23"/>
      <c r="G50" s="23"/>
      <c r="H50" s="23"/>
      <c r="I50" s="23"/>
      <c r="J50" s="26"/>
      <c r="K50" s="6"/>
      <c r="L50" s="23" t="str">
        <f>Gameplan!$B$16</f>
        <v>-</v>
      </c>
      <c r="M50" s="23">
        <f>Gameplan!$C$16</f>
        <v>0</v>
      </c>
    </row>
    <row r="51" spans="1:13" x14ac:dyDescent="0.2">
      <c r="A51" s="23" t="str">
        <f>Gameplan!$B$12</f>
        <v>-</v>
      </c>
      <c r="B51" s="23">
        <f>Gameplan!$C$12</f>
        <v>0</v>
      </c>
      <c r="C51" s="23" t="str">
        <f>Gameplan!$D$12</f>
        <v>-</v>
      </c>
      <c r="D51" s="23" t="str">
        <f>Gameplan!$E$12</f>
        <v>-</v>
      </c>
      <c r="E51" s="23" t="str">
        <f>Gameplan!$F$12</f>
        <v>-</v>
      </c>
      <c r="F51" s="23" t="str">
        <f>Gameplan!$G$12</f>
        <v>-</v>
      </c>
      <c r="G51" s="23" t="str">
        <f>Gameplan!$H$12</f>
        <v>-</v>
      </c>
      <c r="H51" s="23" t="str">
        <f>Gameplan!$I$12</f>
        <v>-</v>
      </c>
      <c r="I51" s="23" t="str">
        <f>Gameplan!$J$12</f>
        <v>-</v>
      </c>
      <c r="J51" s="26"/>
      <c r="K51" s="6"/>
      <c r="L51" s="23" t="str">
        <f>Gameplan!$B$17</f>
        <v>-</v>
      </c>
      <c r="M51" s="23">
        <f>Gameplan!$C$17</f>
        <v>0</v>
      </c>
    </row>
    <row r="52" spans="1:13" x14ac:dyDescent="0.2">
      <c r="A52" s="23"/>
      <c r="B52" s="23"/>
      <c r="C52" s="23"/>
      <c r="D52" s="23"/>
      <c r="E52" s="23"/>
      <c r="F52" s="23"/>
      <c r="G52" s="23"/>
      <c r="H52" s="23"/>
      <c r="I52" s="23"/>
      <c r="J52" s="26"/>
      <c r="K52" s="6"/>
      <c r="L52" s="23" t="str">
        <f>Gameplan!$B$18</f>
        <v>-</v>
      </c>
      <c r="M52" s="23">
        <f>Gameplan!$C$18</f>
        <v>0</v>
      </c>
    </row>
    <row r="53" spans="1:13" x14ac:dyDescent="0.2">
      <c r="A53" s="23" t="str">
        <f>Gameplan!$B$13</f>
        <v>-</v>
      </c>
      <c r="B53" s="23">
        <f>Gameplan!$C$13</f>
        <v>0</v>
      </c>
      <c r="C53" s="23" t="str">
        <f>Gameplan!$D$13</f>
        <v>-</v>
      </c>
      <c r="D53" s="23" t="str">
        <f>Gameplan!$E$13</f>
        <v>-</v>
      </c>
      <c r="E53" s="23" t="str">
        <f>Gameplan!$F$13</f>
        <v>-</v>
      </c>
      <c r="F53" s="23" t="str">
        <f>Gameplan!$G$13</f>
        <v>-</v>
      </c>
      <c r="G53" s="23" t="str">
        <f>Gameplan!$H$13</f>
        <v>-</v>
      </c>
      <c r="H53" s="23" t="str">
        <f>Gameplan!$I$13</f>
        <v>-</v>
      </c>
      <c r="I53" s="23" t="str">
        <f>Gameplan!$J$13</f>
        <v>-</v>
      </c>
      <c r="J53" s="26"/>
      <c r="K53" s="6"/>
      <c r="L53" s="23" t="str">
        <f>Gameplan!$B$19</f>
        <v>-</v>
      </c>
      <c r="M53" s="23">
        <f>Gameplan!$C$19</f>
        <v>0</v>
      </c>
    </row>
    <row r="54" spans="1:13" x14ac:dyDescent="0.2">
      <c r="A54" s="23"/>
      <c r="B54" s="23"/>
      <c r="C54" s="23"/>
      <c r="D54" s="23"/>
      <c r="E54" s="23"/>
      <c r="F54" s="23"/>
      <c r="G54" s="23"/>
      <c r="H54" s="23"/>
      <c r="I54" s="23"/>
      <c r="J54" s="26"/>
      <c r="K54" s="6"/>
    </row>
    <row r="55" spans="1:13" x14ac:dyDescent="0.2">
      <c r="A55" s="23" t="str">
        <f>Gameplan!$B$14</f>
        <v>-</v>
      </c>
      <c r="B55" s="23">
        <f>Gameplan!$C$14</f>
        <v>0</v>
      </c>
      <c r="C55" s="23" t="str">
        <f>Gameplan!$D$14</f>
        <v>-</v>
      </c>
      <c r="D55" s="23" t="str">
        <f>Gameplan!$E$14</f>
        <v>-</v>
      </c>
      <c r="E55" s="23" t="str">
        <f>Gameplan!$F$14</f>
        <v>-</v>
      </c>
      <c r="F55" s="23" t="str">
        <f>Gameplan!$G$14</f>
        <v>-</v>
      </c>
      <c r="G55" s="23" t="str">
        <f>Gameplan!$H$14</f>
        <v>-</v>
      </c>
      <c r="H55" s="23" t="str">
        <f>Gameplan!$I$14</f>
        <v>-</v>
      </c>
      <c r="I55" s="23" t="str">
        <f>Gameplan!$J$14</f>
        <v>-</v>
      </c>
      <c r="J55" s="26"/>
      <c r="K55" s="6"/>
    </row>
    <row r="56" spans="1:13" x14ac:dyDescent="0.2">
      <c r="A56" s="23"/>
      <c r="B56" s="23"/>
      <c r="C56" s="23"/>
      <c r="D56" s="23"/>
      <c r="E56" s="23"/>
      <c r="F56" s="23"/>
      <c r="G56" s="23"/>
      <c r="H56" s="23"/>
      <c r="I56" s="23"/>
      <c r="J56" s="26"/>
      <c r="K56" s="6"/>
    </row>
    <row r="57" spans="1:13" x14ac:dyDescent="0.2">
      <c r="A57" s="23" t="str">
        <f>Gameplan!$B$15</f>
        <v>-</v>
      </c>
      <c r="B57" s="23">
        <f>Gameplan!$C$15</f>
        <v>0</v>
      </c>
      <c r="C57" s="23" t="str">
        <f>Gameplan!$D$15</f>
        <v>-</v>
      </c>
      <c r="D57" s="23" t="str">
        <f>Gameplan!$E$15</f>
        <v>-</v>
      </c>
      <c r="E57" s="23" t="str">
        <f>Gameplan!$F$15</f>
        <v>-</v>
      </c>
      <c r="F57" s="23" t="str">
        <f>Gameplan!$G$15</f>
        <v>-</v>
      </c>
      <c r="G57" s="23" t="str">
        <f>Gameplan!$H$15</f>
        <v>-</v>
      </c>
      <c r="H57" s="23" t="str">
        <f>Gameplan!$I$15</f>
        <v>-</v>
      </c>
      <c r="I57" s="23" t="str">
        <f>Gameplan!$J$15</f>
        <v>-</v>
      </c>
      <c r="J57" s="26"/>
      <c r="K57" s="6"/>
    </row>
    <row r="58" spans="1:13" x14ac:dyDescent="0.2">
      <c r="A58" s="23"/>
      <c r="B58" s="23"/>
      <c r="C58" s="23"/>
      <c r="D58" s="23"/>
      <c r="E58" s="23"/>
      <c r="F58" s="23"/>
      <c r="G58" s="23"/>
      <c r="H58" s="23"/>
      <c r="I58" s="23"/>
      <c r="J58" s="26"/>
      <c r="K58" s="6"/>
    </row>
    <row r="59" spans="1:13" x14ac:dyDescent="0.2">
      <c r="A59" s="23" t="str">
        <f>Gameplan!$B$16</f>
        <v>-</v>
      </c>
      <c r="B59" s="23">
        <f>Gameplan!$C$16</f>
        <v>0</v>
      </c>
      <c r="C59" s="23" t="str">
        <f>Gameplan!$D$16</f>
        <v>-</v>
      </c>
      <c r="D59" s="23" t="str">
        <f>Gameplan!$E$16</f>
        <v>-</v>
      </c>
      <c r="E59" s="23" t="str">
        <f>Gameplan!$F$16</f>
        <v>-</v>
      </c>
      <c r="F59" s="23" t="str">
        <f>Gameplan!$G$16</f>
        <v>-</v>
      </c>
      <c r="G59" s="23" t="str">
        <f>Gameplan!$H$16</f>
        <v>-</v>
      </c>
      <c r="H59" s="23" t="str">
        <f>Gameplan!$I$16</f>
        <v>-</v>
      </c>
      <c r="I59" s="23" t="str">
        <f>Gameplan!$J$16</f>
        <v>-</v>
      </c>
      <c r="J59" s="26"/>
      <c r="K59" s="6"/>
    </row>
    <row r="60" spans="1:13" x14ac:dyDescent="0.2">
      <c r="A60" s="23"/>
      <c r="B60" s="23"/>
      <c r="C60" s="23"/>
      <c r="D60" s="23"/>
      <c r="E60" s="23"/>
      <c r="F60" s="23"/>
      <c r="G60" s="23"/>
      <c r="H60" s="23"/>
      <c r="I60" s="23"/>
      <c r="J60" s="26"/>
      <c r="K60" s="6"/>
    </row>
    <row r="61" spans="1:13" x14ac:dyDescent="0.2">
      <c r="A61" s="23" t="str">
        <f>Gameplan!$B$17</f>
        <v>-</v>
      </c>
      <c r="B61" s="23">
        <f>Gameplan!$C$17</f>
        <v>0</v>
      </c>
      <c r="C61" s="23" t="str">
        <f>Gameplan!$D$17</f>
        <v>-</v>
      </c>
      <c r="D61" s="23" t="str">
        <f>Gameplan!$E$17</f>
        <v>-</v>
      </c>
      <c r="E61" s="23" t="str">
        <f>Gameplan!$F$17</f>
        <v>-</v>
      </c>
      <c r="F61" s="23" t="str">
        <f>Gameplan!$G$17</f>
        <v>-</v>
      </c>
      <c r="G61" s="23" t="str">
        <f>Gameplan!$H$17</f>
        <v>-</v>
      </c>
      <c r="H61" s="23" t="str">
        <f>Gameplan!$I$17</f>
        <v>-</v>
      </c>
      <c r="I61" s="23" t="str">
        <f>Gameplan!$J$17</f>
        <v>-</v>
      </c>
      <c r="J61" s="26"/>
      <c r="K61" s="6"/>
    </row>
    <row r="62" spans="1:13" x14ac:dyDescent="0.2">
      <c r="A62" s="23"/>
      <c r="B62" s="23"/>
      <c r="C62" s="23"/>
      <c r="D62" s="23"/>
      <c r="E62" s="23"/>
      <c r="F62" s="23"/>
      <c r="G62" s="23"/>
      <c r="H62" s="23"/>
      <c r="I62" s="23"/>
      <c r="J62" s="26"/>
      <c r="K62" s="6"/>
    </row>
    <row r="63" spans="1:13" x14ac:dyDescent="0.2">
      <c r="A63" s="23" t="str">
        <f>Gameplan!$B$18</f>
        <v>-</v>
      </c>
      <c r="B63" s="23">
        <f>Gameplan!$C$18</f>
        <v>0</v>
      </c>
      <c r="C63" s="23" t="str">
        <f>Gameplan!$D$18</f>
        <v>-</v>
      </c>
      <c r="D63" s="23" t="str">
        <f>Gameplan!$E$18</f>
        <v>-</v>
      </c>
      <c r="E63" s="23" t="str">
        <f>Gameplan!$F$18</f>
        <v>-</v>
      </c>
      <c r="F63" s="23" t="str">
        <f>Gameplan!$G$18</f>
        <v>-</v>
      </c>
      <c r="G63" s="23" t="str">
        <f>Gameplan!$H$18</f>
        <v>-</v>
      </c>
      <c r="H63" s="23" t="str">
        <f>Gameplan!$I$18</f>
        <v>-</v>
      </c>
      <c r="I63" s="23" t="str">
        <f>Gameplan!$J$18</f>
        <v>-</v>
      </c>
      <c r="J63" s="26"/>
      <c r="K63" s="6"/>
    </row>
    <row r="64" spans="1:13" x14ac:dyDescent="0.2">
      <c r="A64" s="23"/>
      <c r="B64" s="23"/>
      <c r="C64" s="23"/>
      <c r="D64" s="23"/>
      <c r="E64" s="23"/>
      <c r="F64" s="23"/>
      <c r="G64" s="23"/>
      <c r="H64" s="23"/>
      <c r="I64" s="23"/>
      <c r="J64" s="26"/>
      <c r="K64" s="6"/>
    </row>
    <row r="65" spans="1:11" x14ac:dyDescent="0.2">
      <c r="A65" s="23" t="str">
        <f>Gameplan!$B$19</f>
        <v>-</v>
      </c>
      <c r="B65" s="23">
        <f>Gameplan!$C$19</f>
        <v>0</v>
      </c>
      <c r="C65" s="23" t="str">
        <f>Gameplan!$D$19</f>
        <v>-</v>
      </c>
      <c r="D65" s="23" t="str">
        <f>Gameplan!$E$19</f>
        <v>-</v>
      </c>
      <c r="E65" s="23" t="str">
        <f>Gameplan!$F$19</f>
        <v>-</v>
      </c>
      <c r="F65" s="23" t="str">
        <f>Gameplan!$G$19</f>
        <v>-</v>
      </c>
      <c r="G65" s="23" t="str">
        <f>Gameplan!$H$19</f>
        <v>-</v>
      </c>
      <c r="H65" s="23" t="str">
        <f>Gameplan!$I$19</f>
        <v>-</v>
      </c>
      <c r="I65" s="23" t="str">
        <f>Gameplan!$J$19</f>
        <v>-</v>
      </c>
      <c r="J65" s="26"/>
      <c r="K65" s="6"/>
    </row>
    <row r="66" spans="1:11" x14ac:dyDescent="0.2">
      <c r="A66" s="24"/>
      <c r="B66" s="24"/>
      <c r="C66" s="24"/>
      <c r="D66" s="24"/>
      <c r="E66" s="24"/>
      <c r="F66" s="24"/>
      <c r="G66" s="24"/>
      <c r="H66" s="24"/>
      <c r="I66" s="24"/>
      <c r="J66" s="26"/>
      <c r="K66" s="6"/>
    </row>
    <row r="67" spans="1:11" x14ac:dyDescent="0.2">
      <c r="J67" s="26"/>
      <c r="K67" s="6"/>
    </row>
    <row r="68" spans="1:11" x14ac:dyDescent="0.2">
      <c r="J68" s="26"/>
      <c r="K68" s="6"/>
    </row>
  </sheetData>
  <mergeCells count="8">
    <mergeCell ref="B2:H2"/>
    <mergeCell ref="C1:H1"/>
    <mergeCell ref="L35:M35"/>
    <mergeCell ref="L36:M37"/>
    <mergeCell ref="N1:S1"/>
    <mergeCell ref="M2:S2"/>
    <mergeCell ref="C34:H34"/>
    <mergeCell ref="B35:H35"/>
  </mergeCells>
  <conditionalFormatting sqref="C4:I32">
    <cfRule type="containsText" dxfId="32" priority="5" operator="containsText" text="F">
      <formula>NOT(ISERROR(SEARCH("F",C4)))</formula>
    </cfRule>
    <cfRule type="cellIs" dxfId="31" priority="6" operator="equal">
      <formula>"C"</formula>
    </cfRule>
    <cfRule type="cellIs" dxfId="30" priority="25" operator="equal">
      <formula>"C"</formula>
    </cfRule>
    <cfRule type="cellIs" dxfId="29" priority="26" operator="equal">
      <formula>"C"</formula>
    </cfRule>
    <cfRule type="cellIs" dxfId="28" priority="27" operator="equal">
      <formula>"P"</formula>
    </cfRule>
    <cfRule type="cellIs" dxfId="27" priority="28" operator="equal">
      <formula>"C"</formula>
    </cfRule>
    <cfRule type="cellIs" dxfId="26" priority="29" operator="equal">
      <formula>"""--"""</formula>
    </cfRule>
    <cfRule type="cellIs" dxfId="25" priority="30" operator="equal">
      <formula>"'--"</formula>
    </cfRule>
    <cfRule type="cellIs" dxfId="24" priority="31" operator="equal">
      <formula>"C"</formula>
    </cfRule>
    <cfRule type="cellIs" dxfId="23" priority="32" operator="equal">
      <formula>"C"</formula>
    </cfRule>
    <cfRule type="cellIs" dxfId="22" priority="33" operator="equal">
      <formula>"P"</formula>
    </cfRule>
  </conditionalFormatting>
  <conditionalFormatting sqref="C37:I65">
    <cfRule type="cellIs" dxfId="21" priority="16" operator="equal">
      <formula>"C"</formula>
    </cfRule>
    <cfRule type="cellIs" dxfId="20" priority="17" operator="equal">
      <formula>"C"</formula>
    </cfRule>
    <cfRule type="cellIs" dxfId="19" priority="18" operator="equal">
      <formula>"P"</formula>
    </cfRule>
    <cfRule type="cellIs" dxfId="18" priority="19" operator="equal">
      <formula>"C"</formula>
    </cfRule>
    <cfRule type="cellIs" dxfId="17" priority="20" operator="equal">
      <formula>"""--"""</formula>
    </cfRule>
    <cfRule type="cellIs" dxfId="16" priority="21" operator="equal">
      <formula>"'--"</formula>
    </cfRule>
    <cfRule type="cellIs" dxfId="15" priority="22" operator="equal">
      <formula>"C"</formula>
    </cfRule>
    <cfRule type="cellIs" dxfId="14" priority="23" operator="equal">
      <formula>"C"</formula>
    </cfRule>
    <cfRule type="cellIs" dxfId="13" priority="24" operator="equal">
      <formula>"P"</formula>
    </cfRule>
  </conditionalFormatting>
  <conditionalFormatting sqref="N4:T32">
    <cfRule type="containsText" dxfId="12" priority="3" operator="containsText" text="F">
      <formula>NOT(ISERROR(SEARCH("F",N4)))</formula>
    </cfRule>
    <cfRule type="cellIs" dxfId="11" priority="4" operator="equal">
      <formula>"C"</formula>
    </cfRule>
    <cfRule type="cellIs" dxfId="10" priority="7" operator="equal">
      <formula>"C"</formula>
    </cfRule>
    <cfRule type="cellIs" dxfId="9" priority="8" operator="equal">
      <formula>"C"</formula>
    </cfRule>
    <cfRule type="cellIs" dxfId="8" priority="9" operator="equal">
      <formula>"P"</formula>
    </cfRule>
    <cfRule type="cellIs" dxfId="7" priority="10" operator="equal">
      <formula>"C"</formula>
    </cfRule>
    <cfRule type="cellIs" dxfId="6" priority="11" operator="equal">
      <formula>"""--"""</formula>
    </cfRule>
    <cfRule type="cellIs" dxfId="5" priority="12" operator="equal">
      <formula>"'--"</formula>
    </cfRule>
    <cfRule type="cellIs" dxfId="4" priority="13" operator="equal">
      <formula>"C"</formula>
    </cfRule>
    <cfRule type="cellIs" dxfId="3" priority="14" operator="equal">
      <formula>"C"</formula>
    </cfRule>
    <cfRule type="cellIs" dxfId="2" priority="15" operator="equal">
      <formula>"P"</formula>
    </cfRule>
  </conditionalFormatting>
  <conditionalFormatting sqref="C37:I66">
    <cfRule type="containsText" dxfId="1" priority="1" operator="containsText" text="F">
      <formula>NOT(ISERROR(SEARCH("F",C37)))</formula>
    </cfRule>
    <cfRule type="cellIs" dxfId="0" priority="2" operator="equal">
      <formula>"C"</formula>
    </cfRule>
  </conditionalFormatting>
  <pageMargins left="0.7" right="0.7" top="0.75" bottom="0.75" header="0.3" footer="0.3"/>
  <pageSetup orientation="landscape" r:id="rId1"/>
  <headerFooter>
    <oddFooter>&amp;R_x000D_&amp;1#&amp;"Calibri"&amp;10&amp;KFF0000 Public</oddFooter>
  </headerFooter>
  <rowBreaks count="1" manualBreakCount="1">
    <brk id="34"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sRoster"/>
  <dimension ref="A1:C16"/>
  <sheetViews>
    <sheetView workbookViewId="0">
      <selection activeCell="B19" sqref="B19"/>
    </sheetView>
  </sheetViews>
  <sheetFormatPr baseColWidth="10" defaultColWidth="8.83203125" defaultRowHeight="15" x14ac:dyDescent="0.2"/>
  <cols>
    <col min="1" max="1" width="6.6640625" customWidth="1"/>
    <col min="2" max="2" width="26.6640625" customWidth="1"/>
    <col min="6" max="6" width="16.5" customWidth="1"/>
  </cols>
  <sheetData>
    <row r="1" spans="1:3" ht="16" thickBot="1" x14ac:dyDescent="0.25">
      <c r="A1" s="2" t="s">
        <v>0</v>
      </c>
      <c r="B1" s="28" t="s">
        <v>1</v>
      </c>
      <c r="C1" s="3" t="s">
        <v>2</v>
      </c>
    </row>
    <row r="2" spans="1:3" x14ac:dyDescent="0.2">
      <c r="A2" s="1">
        <v>1</v>
      </c>
    </row>
    <row r="3" spans="1:3" x14ac:dyDescent="0.2">
      <c r="A3" s="1">
        <v>2</v>
      </c>
    </row>
    <row r="4" spans="1:3" x14ac:dyDescent="0.2">
      <c r="A4" s="1">
        <v>3</v>
      </c>
    </row>
    <row r="5" spans="1:3" x14ac:dyDescent="0.2">
      <c r="A5" s="1">
        <v>4</v>
      </c>
    </row>
    <row r="6" spans="1:3" x14ac:dyDescent="0.2">
      <c r="A6" s="1">
        <v>5</v>
      </c>
    </row>
    <row r="7" spans="1:3" x14ac:dyDescent="0.2">
      <c r="A7" s="1">
        <v>6</v>
      </c>
    </row>
    <row r="8" spans="1:3" x14ac:dyDescent="0.2">
      <c r="A8" s="1">
        <v>7</v>
      </c>
    </row>
    <row r="9" spans="1:3" x14ac:dyDescent="0.2">
      <c r="A9" s="1">
        <v>8</v>
      </c>
    </row>
    <row r="10" spans="1:3" x14ac:dyDescent="0.2">
      <c r="A10" s="1">
        <v>9</v>
      </c>
    </row>
    <row r="11" spans="1:3" x14ac:dyDescent="0.2">
      <c r="A11" s="1">
        <v>10</v>
      </c>
    </row>
    <row r="12" spans="1:3" x14ac:dyDescent="0.2">
      <c r="A12" s="1">
        <v>11</v>
      </c>
    </row>
    <row r="13" spans="1:3" x14ac:dyDescent="0.2">
      <c r="A13" s="1">
        <v>12</v>
      </c>
    </row>
    <row r="14" spans="1:3" x14ac:dyDescent="0.2">
      <c r="A14" s="1">
        <v>13</v>
      </c>
    </row>
    <row r="15" spans="1:3" x14ac:dyDescent="0.2">
      <c r="A15" s="1">
        <v>14</v>
      </c>
    </row>
    <row r="16" spans="1:3" x14ac:dyDescent="0.2">
      <c r="A16" s="1">
        <v>15</v>
      </c>
    </row>
  </sheetData>
  <pageMargins left="0.7" right="0.7" top="0.75" bottom="0.75" header="0.3" footer="0.3"/>
  <pageSetup orientation="portrait" r:id="rId1"/>
  <headerFooter>
    <oddFooter>&amp;R_x000D_&amp;1#&amp;"Calibri"&amp;10&amp;KFF0000 Public</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106</vt:i4>
      </vt:variant>
    </vt:vector>
  </HeadingPairs>
  <TitlesOfParts>
    <vt:vector size="109" baseType="lpstr">
      <vt:lpstr>Gameplan</vt:lpstr>
      <vt:lpstr>Lineup Cards</vt:lpstr>
      <vt:lpstr>Roster</vt:lpstr>
      <vt:lpstr>I1_1B</vt:lpstr>
      <vt:lpstr>I1_2B</vt:lpstr>
      <vt:lpstr>I1_3B</vt:lpstr>
      <vt:lpstr>I1_C</vt:lpstr>
      <vt:lpstr>I1_CF</vt:lpstr>
      <vt:lpstr>I1_D1</vt:lpstr>
      <vt:lpstr>I1_D2</vt:lpstr>
      <vt:lpstr>I1_D3</vt:lpstr>
      <vt:lpstr>I1_D4</vt:lpstr>
      <vt:lpstr>I1_D5</vt:lpstr>
      <vt:lpstr>I1_D6</vt:lpstr>
      <vt:lpstr>I1_LF</vt:lpstr>
      <vt:lpstr>I1_P</vt:lpstr>
      <vt:lpstr>I1_RF</vt:lpstr>
      <vt:lpstr>I1_SS</vt:lpstr>
      <vt:lpstr>I2_1B</vt:lpstr>
      <vt:lpstr>I2_2B</vt:lpstr>
      <vt:lpstr>I2_3B</vt:lpstr>
      <vt:lpstr>I2_C</vt:lpstr>
      <vt:lpstr>I2_CF</vt:lpstr>
      <vt:lpstr>I2_D1</vt:lpstr>
      <vt:lpstr>I2_D2</vt:lpstr>
      <vt:lpstr>I2_D3</vt:lpstr>
      <vt:lpstr>I2_D4</vt:lpstr>
      <vt:lpstr>I2_D5</vt:lpstr>
      <vt:lpstr>I2_D6</vt:lpstr>
      <vt:lpstr>I2_LF</vt:lpstr>
      <vt:lpstr>I2_P</vt:lpstr>
      <vt:lpstr>I2_RF</vt:lpstr>
      <vt:lpstr>I2_SS</vt:lpstr>
      <vt:lpstr>I3_1B</vt:lpstr>
      <vt:lpstr>I3_2B</vt:lpstr>
      <vt:lpstr>I3_3B</vt:lpstr>
      <vt:lpstr>I3_C</vt:lpstr>
      <vt:lpstr>I3_CF</vt:lpstr>
      <vt:lpstr>I3_D1</vt:lpstr>
      <vt:lpstr>I3_D2</vt:lpstr>
      <vt:lpstr>I3_D3</vt:lpstr>
      <vt:lpstr>I3_D4</vt:lpstr>
      <vt:lpstr>I3_D5</vt:lpstr>
      <vt:lpstr>I3_D6</vt:lpstr>
      <vt:lpstr>I3_LF</vt:lpstr>
      <vt:lpstr>I3_P</vt:lpstr>
      <vt:lpstr>I3_RF</vt:lpstr>
      <vt:lpstr>I3_SS</vt:lpstr>
      <vt:lpstr>I4_1B</vt:lpstr>
      <vt:lpstr>I4_2B</vt:lpstr>
      <vt:lpstr>I4_3B</vt:lpstr>
      <vt:lpstr>I4_C</vt:lpstr>
      <vt:lpstr>I4_CF</vt:lpstr>
      <vt:lpstr>I4_D1</vt:lpstr>
      <vt:lpstr>I4_D2</vt:lpstr>
      <vt:lpstr>I4_D3</vt:lpstr>
      <vt:lpstr>I4_D4</vt:lpstr>
      <vt:lpstr>I4_D5</vt:lpstr>
      <vt:lpstr>I4_D6</vt:lpstr>
      <vt:lpstr>I4_LF</vt:lpstr>
      <vt:lpstr>I4_P</vt:lpstr>
      <vt:lpstr>I4_RF</vt:lpstr>
      <vt:lpstr>I4_SS</vt:lpstr>
      <vt:lpstr>I5_1B</vt:lpstr>
      <vt:lpstr>I5_2B</vt:lpstr>
      <vt:lpstr>I5_3B</vt:lpstr>
      <vt:lpstr>I5_C</vt:lpstr>
      <vt:lpstr>I5_CF</vt:lpstr>
      <vt:lpstr>I5_D1</vt:lpstr>
      <vt:lpstr>I5_D2</vt:lpstr>
      <vt:lpstr>I5_D3</vt:lpstr>
      <vt:lpstr>I5_D4</vt:lpstr>
      <vt:lpstr>I5_D5</vt:lpstr>
      <vt:lpstr>I5_D6</vt:lpstr>
      <vt:lpstr>I5_LF</vt:lpstr>
      <vt:lpstr>I5_P</vt:lpstr>
      <vt:lpstr>I5_RF</vt:lpstr>
      <vt:lpstr>I5_SS</vt:lpstr>
      <vt:lpstr>I6_1B</vt:lpstr>
      <vt:lpstr>I6_2B</vt:lpstr>
      <vt:lpstr>I6_3B</vt:lpstr>
      <vt:lpstr>I6_C</vt:lpstr>
      <vt:lpstr>I6_CF</vt:lpstr>
      <vt:lpstr>I6_D1</vt:lpstr>
      <vt:lpstr>I6_D2</vt:lpstr>
      <vt:lpstr>I6_D3</vt:lpstr>
      <vt:lpstr>I6_D4</vt:lpstr>
      <vt:lpstr>I6_D5</vt:lpstr>
      <vt:lpstr>I6_D6</vt:lpstr>
      <vt:lpstr>I6_LF</vt:lpstr>
      <vt:lpstr>I6_P</vt:lpstr>
      <vt:lpstr>I6_RF</vt:lpstr>
      <vt:lpstr>I6_SS</vt:lpstr>
      <vt:lpstr>I7_1B</vt:lpstr>
      <vt:lpstr>I7_2B</vt:lpstr>
      <vt:lpstr>I7_3B</vt:lpstr>
      <vt:lpstr>I7_C</vt:lpstr>
      <vt:lpstr>I7_CF</vt:lpstr>
      <vt:lpstr>I7_D1</vt:lpstr>
      <vt:lpstr>I7_D2</vt:lpstr>
      <vt:lpstr>I7_D3</vt:lpstr>
      <vt:lpstr>I7_D4</vt:lpstr>
      <vt:lpstr>I7_D5</vt:lpstr>
      <vt:lpstr>I7_D6</vt:lpstr>
      <vt:lpstr>I7_LF</vt:lpstr>
      <vt:lpstr>I7_P</vt:lpstr>
      <vt:lpstr>I7_RF</vt:lpstr>
      <vt:lpstr>I7_SS</vt:lpstr>
      <vt:lpstr>Yadier_Molina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dc:creator>
  <cp:lastModifiedBy>Babel Jay E</cp:lastModifiedBy>
  <cp:lastPrinted>2014-10-14T21:22:28Z</cp:lastPrinted>
  <dcterms:created xsi:type="dcterms:W3CDTF">2014-08-24T14:12:32Z</dcterms:created>
  <dcterms:modified xsi:type="dcterms:W3CDTF">2021-09-03T02:17:11Z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29374dd-2437-4816-8d63-bf9cc1b578e5_Enabled">
    <vt:lpwstr>true</vt:lpwstr>
  </property>
  <property fmtid="{D5CDD505-2E9C-101B-9397-08002B2CF9AE}" pid="3" name="MSIP_Label_029374dd-2437-4816-8d63-bf9cc1b578e5_SetDate">
    <vt:lpwstr>2021-09-03T02:16:08Z</vt:lpwstr>
  </property>
  <property fmtid="{D5CDD505-2E9C-101B-9397-08002B2CF9AE}" pid="4" name="MSIP_Label_029374dd-2437-4816-8d63-bf9cc1b578e5_Method">
    <vt:lpwstr>Privileged</vt:lpwstr>
  </property>
  <property fmtid="{D5CDD505-2E9C-101B-9397-08002B2CF9AE}" pid="5" name="MSIP_Label_029374dd-2437-4816-8d63-bf9cc1b578e5_Name">
    <vt:lpwstr>Public</vt:lpwstr>
  </property>
  <property fmtid="{D5CDD505-2E9C-101B-9397-08002B2CF9AE}" pid="6" name="MSIP_Label_029374dd-2437-4816-8d63-bf9cc1b578e5_SiteId">
    <vt:lpwstr>39b03722-b836-496a-85ec-850f0957ca6b</vt:lpwstr>
  </property>
  <property fmtid="{D5CDD505-2E9C-101B-9397-08002B2CF9AE}" pid="7" name="MSIP_Label_029374dd-2437-4816-8d63-bf9cc1b578e5_ActionId">
    <vt:lpwstr>49795261-f7d4-4d6d-9ad5-e556c180a006</vt:lpwstr>
  </property>
  <property fmtid="{D5CDD505-2E9C-101B-9397-08002B2CF9AE}" pid="8" name="MSIP_Label_029374dd-2437-4816-8d63-bf9cc1b578e5_ContentBits">
    <vt:lpwstr>2</vt:lpwstr>
  </property>
</Properties>
</file>